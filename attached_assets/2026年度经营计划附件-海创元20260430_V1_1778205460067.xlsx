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mc:AlternateContent xmlns:mc="http://schemas.openxmlformats.org/markup-compatibility/2006">
    <mc:Choice Requires="x15">
      <x15ac:absPath xmlns:x15ac="http://schemas.microsoft.com/office/spreadsheetml/2010/11/ac" url="D:\☆ 海创元\1.经营计划\☆ 2026年度预算\五上\"/>
    </mc:Choice>
  </mc:AlternateContent>
  <xr:revisionPtr revIDLastSave="0" documentId="13_ncr:1_{B1BC24D8-DA5C-4934-80E0-70E2ECDF98D5}" xr6:coauthVersionLast="47" xr6:coauthVersionMax="47" xr10:uidLastSave="{00000000-0000-0000-0000-000000000000}"/>
  <bookViews>
    <workbookView xWindow="-110" yWindow="-110" windowWidth="38620" windowHeight="21100" tabRatio="726" xr2:uid="{00000000-000D-0000-FFFF-FFFF00000000}"/>
  </bookViews>
  <sheets>
    <sheet name="经营目标" sheetId="8" r:id="rId1"/>
    <sheet name="附件1 指标分解" sheetId="1" r:id="rId2"/>
    <sheet name="附件2 经营性净现金流利润编制明细2026415" sheetId="23" r:id="rId3"/>
    <sheet name="附件3 经营性资金计划 2026415" sheetId="24" r:id="rId4"/>
    <sheet name="逻辑-利润版预算" sheetId="25" state="hidden" r:id="rId5"/>
    <sheet name="简表" sheetId="26" state="hidden" r:id="rId6"/>
  </sheets>
  <externalReferences>
    <externalReference r:id="rId7"/>
    <externalReference r:id="rId8"/>
    <externalReference r:id="rId9"/>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 i="1" l="1"/>
  <c r="G16" i="1"/>
  <c r="T16" i="1" s="1"/>
  <c r="F16" i="1"/>
  <c r="E16" i="1"/>
  <c r="D16" i="1"/>
  <c r="C16" i="1"/>
  <c r="T15" i="1"/>
  <c r="F15" i="1"/>
  <c r="E15" i="1"/>
  <c r="D15" i="1"/>
  <c r="C15" i="1"/>
  <c r="N15" i="8"/>
  <c r="D9" i="26"/>
  <c r="B9" i="26"/>
  <c r="D8" i="26"/>
  <c r="B8" i="26"/>
  <c r="D7" i="26"/>
  <c r="B7" i="26"/>
  <c r="D6" i="26"/>
  <c r="B6" i="26"/>
  <c r="D5" i="26"/>
  <c r="B5" i="26"/>
  <c r="D4" i="26"/>
  <c r="B4" i="26"/>
  <c r="D3" i="26"/>
  <c r="B3" i="26"/>
  <c r="K42" i="25"/>
  <c r="J42" i="25"/>
  <c r="J41" i="25"/>
  <c r="H41" i="25"/>
  <c r="G41" i="25"/>
  <c r="F41" i="25"/>
  <c r="E41" i="25"/>
  <c r="P40" i="25"/>
  <c r="O40" i="25"/>
  <c r="J40" i="25"/>
  <c r="H40" i="25"/>
  <c r="G40" i="25"/>
  <c r="F40" i="25"/>
  <c r="E40" i="25"/>
  <c r="P39" i="25"/>
  <c r="O39" i="25"/>
  <c r="J39" i="25"/>
  <c r="H39" i="25"/>
  <c r="G39" i="25"/>
  <c r="F39" i="25"/>
  <c r="E39" i="25"/>
  <c r="E32" i="25"/>
  <c r="E31" i="25"/>
  <c r="E30" i="25"/>
  <c r="E29" i="25"/>
  <c r="E28" i="25"/>
  <c r="I26" i="25"/>
  <c r="H26" i="25"/>
  <c r="G26" i="25"/>
  <c r="F26" i="25"/>
  <c r="E26" i="25"/>
  <c r="D26" i="25"/>
  <c r="I25" i="25"/>
  <c r="H25" i="25"/>
  <c r="G25" i="25"/>
  <c r="F25" i="25"/>
  <c r="D25" i="25"/>
  <c r="H24" i="25"/>
  <c r="G24" i="25"/>
  <c r="F24" i="25"/>
  <c r="E24" i="25"/>
  <c r="D24" i="25"/>
  <c r="H23" i="25"/>
  <c r="G23" i="25"/>
  <c r="F23" i="25"/>
  <c r="E23" i="25"/>
  <c r="D23" i="25"/>
  <c r="H22" i="25"/>
  <c r="G22" i="25"/>
  <c r="F22" i="25"/>
  <c r="D22" i="25"/>
  <c r="K21" i="25"/>
  <c r="D21" i="25"/>
  <c r="D20" i="25"/>
  <c r="H19" i="25"/>
  <c r="G19" i="25"/>
  <c r="F19" i="25"/>
  <c r="E19" i="25"/>
  <c r="D19" i="25"/>
  <c r="H18" i="25"/>
  <c r="G18" i="25"/>
  <c r="F18" i="25"/>
  <c r="E18" i="25"/>
  <c r="D18" i="25"/>
  <c r="H17" i="25"/>
  <c r="G17" i="25"/>
  <c r="F17" i="25"/>
  <c r="E17" i="25"/>
  <c r="D17" i="25"/>
  <c r="H16" i="25"/>
  <c r="G16" i="25"/>
  <c r="F16" i="25"/>
  <c r="E16" i="25"/>
  <c r="D16" i="25"/>
  <c r="H15" i="25"/>
  <c r="G15" i="25"/>
  <c r="F15" i="25"/>
  <c r="E15" i="25"/>
  <c r="D15" i="25"/>
  <c r="J14" i="25"/>
  <c r="H14" i="25"/>
  <c r="G14" i="25"/>
  <c r="F14" i="25"/>
  <c r="E14" i="25"/>
  <c r="D14" i="25"/>
  <c r="I13" i="25"/>
  <c r="H13" i="25"/>
  <c r="G13" i="25"/>
  <c r="F13" i="25"/>
  <c r="E13" i="25"/>
  <c r="D13" i="25"/>
  <c r="J12" i="25"/>
  <c r="H12" i="25"/>
  <c r="G12" i="25"/>
  <c r="F12" i="25"/>
  <c r="E12" i="25"/>
  <c r="D12" i="25"/>
  <c r="J11" i="25"/>
  <c r="D11" i="25"/>
  <c r="J10" i="25"/>
  <c r="D10" i="25"/>
  <c r="J9" i="25"/>
  <c r="H9" i="25"/>
  <c r="G9" i="25"/>
  <c r="F9" i="25"/>
  <c r="D9" i="25"/>
  <c r="J8" i="25"/>
  <c r="G8" i="25"/>
  <c r="F8" i="25"/>
  <c r="D8" i="25"/>
  <c r="J7" i="25"/>
  <c r="H7" i="25"/>
  <c r="G7" i="25"/>
  <c r="F7" i="25"/>
  <c r="D7" i="25"/>
  <c r="J6" i="25"/>
  <c r="H6" i="25"/>
  <c r="G6" i="25"/>
  <c r="F6" i="25"/>
  <c r="D6" i="25"/>
  <c r="J5" i="25"/>
  <c r="H5" i="25"/>
  <c r="G5" i="25"/>
  <c r="F5" i="25"/>
  <c r="E5" i="25"/>
  <c r="D5" i="25"/>
  <c r="T4" i="25"/>
  <c r="R4" i="25"/>
  <c r="Q4" i="25"/>
  <c r="P4" i="25"/>
  <c r="L4" i="25"/>
  <c r="K4" i="25"/>
  <c r="J4" i="25"/>
  <c r="H4" i="25"/>
  <c r="G4" i="25"/>
  <c r="F4" i="25"/>
  <c r="E4" i="25"/>
  <c r="D4" i="25"/>
  <c r="I3" i="25"/>
  <c r="H3" i="25"/>
  <c r="G3" i="25"/>
  <c r="F3" i="25"/>
  <c r="E3" i="25"/>
  <c r="D3" i="25"/>
  <c r="T47" i="24"/>
  <c r="S47" i="24"/>
  <c r="R47" i="24"/>
  <c r="Q47" i="24"/>
  <c r="P47" i="24"/>
  <c r="O47" i="24"/>
  <c r="N47" i="24"/>
  <c r="M47" i="24"/>
  <c r="L47" i="24"/>
  <c r="K47" i="24"/>
  <c r="J47" i="24"/>
  <c r="I47" i="24"/>
  <c r="H47" i="24"/>
  <c r="G47" i="24"/>
  <c r="F47" i="24"/>
  <c r="E47" i="24"/>
  <c r="T46" i="24"/>
  <c r="S46" i="24"/>
  <c r="E46" i="24"/>
  <c r="T45" i="24"/>
  <c r="S45" i="24"/>
  <c r="R45" i="24"/>
  <c r="I45" i="24"/>
  <c r="E45" i="24"/>
  <c r="T44" i="24"/>
  <c r="S44" i="24"/>
  <c r="R44" i="24"/>
  <c r="E44" i="24"/>
  <c r="T43" i="24"/>
  <c r="S43" i="24"/>
  <c r="R43" i="24"/>
  <c r="K43" i="24"/>
  <c r="J43" i="24"/>
  <c r="E43" i="24"/>
  <c r="E42" i="24"/>
  <c r="E41" i="24"/>
  <c r="Q40" i="24"/>
  <c r="P40" i="24"/>
  <c r="O40" i="24"/>
  <c r="N40" i="24"/>
  <c r="M40" i="24"/>
  <c r="L40" i="24"/>
  <c r="K40" i="24"/>
  <c r="J40" i="24"/>
  <c r="I40" i="24"/>
  <c r="E40" i="24"/>
  <c r="T39" i="24"/>
  <c r="S39" i="24"/>
  <c r="R39" i="24"/>
  <c r="Q39" i="24"/>
  <c r="P39" i="24"/>
  <c r="O39" i="24"/>
  <c r="N39" i="24"/>
  <c r="M39" i="24"/>
  <c r="L39" i="24"/>
  <c r="K39" i="24"/>
  <c r="J39" i="24"/>
  <c r="I39" i="24"/>
  <c r="E39" i="24"/>
  <c r="T38" i="24"/>
  <c r="S38" i="24"/>
  <c r="R38" i="24"/>
  <c r="Q38" i="24"/>
  <c r="P38" i="24"/>
  <c r="O38" i="24"/>
  <c r="N38" i="24"/>
  <c r="M38" i="24"/>
  <c r="L38" i="24"/>
  <c r="K38" i="24"/>
  <c r="J38" i="24"/>
  <c r="I38" i="24"/>
  <c r="H38" i="24"/>
  <c r="G38" i="24"/>
  <c r="F38" i="24"/>
  <c r="E38" i="24"/>
  <c r="E37" i="24"/>
  <c r="E36" i="24"/>
  <c r="E35" i="24"/>
  <c r="E34" i="24"/>
  <c r="E33" i="24"/>
  <c r="Q32" i="24"/>
  <c r="K32" i="24"/>
  <c r="I32" i="24"/>
  <c r="E32" i="24"/>
  <c r="Q31" i="24"/>
  <c r="K31" i="24"/>
  <c r="I31" i="24"/>
  <c r="E31" i="24"/>
  <c r="T30" i="24"/>
  <c r="S30" i="24"/>
  <c r="R30" i="24"/>
  <c r="Q30" i="24"/>
  <c r="P30" i="24"/>
  <c r="O30" i="24"/>
  <c r="N30" i="24"/>
  <c r="M30" i="24"/>
  <c r="L30" i="24"/>
  <c r="K30" i="24"/>
  <c r="J30" i="24"/>
  <c r="I30" i="24"/>
  <c r="H30" i="24"/>
  <c r="G30" i="24"/>
  <c r="F30" i="24"/>
  <c r="E30" i="24"/>
  <c r="Q22" i="24"/>
  <c r="P22" i="24"/>
  <c r="O22" i="24"/>
  <c r="N22" i="24"/>
  <c r="M22" i="24"/>
  <c r="L22" i="24"/>
  <c r="K22" i="24"/>
  <c r="J22" i="24"/>
  <c r="I22" i="24"/>
  <c r="H22" i="24"/>
  <c r="G22" i="24"/>
  <c r="F22" i="24"/>
  <c r="E22" i="24"/>
  <c r="Q20" i="24"/>
  <c r="P20" i="24"/>
  <c r="O20" i="24"/>
  <c r="M20" i="24"/>
  <c r="L20" i="24"/>
  <c r="J20" i="24"/>
  <c r="I20" i="24"/>
  <c r="H20" i="24"/>
  <c r="G20" i="24"/>
  <c r="F20" i="24"/>
  <c r="E20" i="24"/>
  <c r="Q19" i="24"/>
  <c r="P19" i="24"/>
  <c r="O19" i="24"/>
  <c r="N19" i="24"/>
  <c r="M19" i="24"/>
  <c r="L19" i="24"/>
  <c r="K19" i="24"/>
  <c r="J19" i="24"/>
  <c r="I19" i="24"/>
  <c r="H19" i="24"/>
  <c r="G19" i="24"/>
  <c r="F19" i="24"/>
  <c r="E19" i="24"/>
  <c r="Q18" i="24"/>
  <c r="L18" i="24"/>
  <c r="F18" i="24"/>
  <c r="E18" i="24"/>
  <c r="Q16" i="24"/>
  <c r="P16" i="24"/>
  <c r="O16" i="24"/>
  <c r="N16" i="24"/>
  <c r="M16" i="24"/>
  <c r="L16" i="24"/>
  <c r="K16" i="24"/>
  <c r="J16" i="24"/>
  <c r="I16" i="24"/>
  <c r="E16" i="24"/>
  <c r="P15" i="24"/>
  <c r="O15" i="24"/>
  <c r="N15" i="24"/>
  <c r="M15" i="24"/>
  <c r="L15" i="24"/>
  <c r="K15" i="24"/>
  <c r="J15" i="24"/>
  <c r="I15" i="24"/>
  <c r="H15" i="24"/>
  <c r="G15" i="24"/>
  <c r="F15" i="24"/>
  <c r="E15" i="24"/>
  <c r="Q14" i="24"/>
  <c r="P14" i="24"/>
  <c r="O14" i="24"/>
  <c r="N14" i="24"/>
  <c r="M14" i="24"/>
  <c r="L14" i="24"/>
  <c r="K14" i="24"/>
  <c r="J14" i="24"/>
  <c r="I14" i="24"/>
  <c r="H14" i="24"/>
  <c r="G14" i="24"/>
  <c r="F14" i="24"/>
  <c r="E14" i="24"/>
  <c r="Q13" i="24"/>
  <c r="P13" i="24"/>
  <c r="O13" i="24"/>
  <c r="N13" i="24"/>
  <c r="M13" i="24"/>
  <c r="L13" i="24"/>
  <c r="K13" i="24"/>
  <c r="J13" i="24"/>
  <c r="I13" i="24"/>
  <c r="H13" i="24"/>
  <c r="G13" i="24"/>
  <c r="F13" i="24"/>
  <c r="E13" i="24"/>
  <c r="E10" i="24"/>
  <c r="Q8" i="24"/>
  <c r="P8" i="24"/>
  <c r="O8" i="24"/>
  <c r="N8" i="24"/>
  <c r="M8" i="24"/>
  <c r="L8" i="24"/>
  <c r="K8" i="24"/>
  <c r="J8" i="24"/>
  <c r="I8" i="24"/>
  <c r="H8" i="24"/>
  <c r="E8" i="24"/>
  <c r="Q7" i="24"/>
  <c r="P7" i="24"/>
  <c r="O7" i="24"/>
  <c r="N7" i="24"/>
  <c r="M7" i="24"/>
  <c r="L7" i="24"/>
  <c r="K7" i="24"/>
  <c r="J7" i="24"/>
  <c r="H7" i="24"/>
  <c r="E7" i="24"/>
  <c r="Q6" i="24"/>
  <c r="P6" i="24"/>
  <c r="O6" i="24"/>
  <c r="N6" i="24"/>
  <c r="M6" i="24"/>
  <c r="L6" i="24"/>
  <c r="K6" i="24"/>
  <c r="J6" i="24"/>
  <c r="I6" i="24"/>
  <c r="H6" i="24"/>
  <c r="G6" i="24"/>
  <c r="F6" i="24"/>
  <c r="E6" i="24"/>
  <c r="Q5" i="24"/>
  <c r="P5" i="24"/>
  <c r="O5" i="24"/>
  <c r="N5" i="24"/>
  <c r="M5" i="24"/>
  <c r="L5" i="24"/>
  <c r="K5" i="24"/>
  <c r="J5" i="24"/>
  <c r="I5" i="24"/>
  <c r="H5" i="24"/>
  <c r="G5" i="24"/>
  <c r="F5" i="24"/>
  <c r="E5" i="24"/>
  <c r="Q47" i="23"/>
  <c r="P47" i="23"/>
  <c r="O47" i="23"/>
  <c r="N47" i="23"/>
  <c r="M47" i="23"/>
  <c r="L47" i="23"/>
  <c r="K47" i="23"/>
  <c r="J47" i="23"/>
  <c r="I47" i="23"/>
  <c r="H47" i="23"/>
  <c r="G47" i="23"/>
  <c r="F47" i="23"/>
  <c r="E47" i="23"/>
  <c r="E46" i="23"/>
  <c r="E45" i="23"/>
  <c r="E44" i="23"/>
  <c r="Q41" i="23"/>
  <c r="P41" i="23"/>
  <c r="O41" i="23"/>
  <c r="N41" i="23"/>
  <c r="M41" i="23"/>
  <c r="L41" i="23"/>
  <c r="K41" i="23"/>
  <c r="J41" i="23"/>
  <c r="I41" i="23"/>
  <c r="H41" i="23"/>
  <c r="G41" i="23"/>
  <c r="F41" i="23"/>
  <c r="E41" i="23"/>
  <c r="Q40" i="23"/>
  <c r="P40" i="23"/>
  <c r="O40" i="23"/>
  <c r="N40" i="23"/>
  <c r="M40" i="23"/>
  <c r="L40" i="23"/>
  <c r="K40" i="23"/>
  <c r="J40" i="23"/>
  <c r="I40" i="23"/>
  <c r="H40" i="23"/>
  <c r="G40" i="23"/>
  <c r="F40" i="23"/>
  <c r="E40" i="23"/>
  <c r="E39" i="23"/>
  <c r="Q38" i="23"/>
  <c r="P38" i="23"/>
  <c r="O38" i="23"/>
  <c r="N38" i="23"/>
  <c r="M38" i="23"/>
  <c r="L38" i="23"/>
  <c r="K38" i="23"/>
  <c r="J38" i="23"/>
  <c r="I38" i="23"/>
  <c r="H38" i="23"/>
  <c r="G38" i="23"/>
  <c r="F38" i="23"/>
  <c r="E38" i="23"/>
  <c r="E37" i="23"/>
  <c r="E36" i="23"/>
  <c r="Q35" i="23"/>
  <c r="P35" i="23"/>
  <c r="O35" i="23"/>
  <c r="N35" i="23"/>
  <c r="M35" i="23"/>
  <c r="L35" i="23"/>
  <c r="K35" i="23"/>
  <c r="J35" i="23"/>
  <c r="I35" i="23"/>
  <c r="H35" i="23"/>
  <c r="G35" i="23"/>
  <c r="F35" i="23"/>
  <c r="E35" i="23"/>
  <c r="E34" i="23"/>
  <c r="E33" i="23"/>
  <c r="E32" i="23"/>
  <c r="E31" i="23"/>
  <c r="Q30" i="23"/>
  <c r="P30" i="23"/>
  <c r="O30" i="23"/>
  <c r="N30" i="23"/>
  <c r="M30" i="23"/>
  <c r="L30" i="23"/>
  <c r="K30" i="23"/>
  <c r="J30" i="23"/>
  <c r="I30" i="23"/>
  <c r="H30" i="23"/>
  <c r="G30" i="23"/>
  <c r="F30" i="23"/>
  <c r="E30" i="23"/>
  <c r="E29" i="23"/>
  <c r="E28" i="23"/>
  <c r="Q27" i="23"/>
  <c r="P27" i="23"/>
  <c r="O27" i="23"/>
  <c r="N27" i="23"/>
  <c r="M27" i="23"/>
  <c r="L27" i="23"/>
  <c r="K27" i="23"/>
  <c r="J27" i="23"/>
  <c r="I27" i="23"/>
  <c r="H27" i="23"/>
  <c r="G27" i="23"/>
  <c r="F27" i="23"/>
  <c r="E27" i="23"/>
  <c r="E26" i="23"/>
  <c r="E25" i="23"/>
  <c r="Q24" i="23"/>
  <c r="P24" i="23"/>
  <c r="O24" i="23"/>
  <c r="N24" i="23"/>
  <c r="M24" i="23"/>
  <c r="L24" i="23"/>
  <c r="K24" i="23"/>
  <c r="J24" i="23"/>
  <c r="I24" i="23"/>
  <c r="H24" i="23"/>
  <c r="G24" i="23"/>
  <c r="F24" i="23"/>
  <c r="E24" i="23"/>
  <c r="Q23" i="23"/>
  <c r="P23" i="23"/>
  <c r="O23" i="23"/>
  <c r="N23" i="23"/>
  <c r="M23" i="23"/>
  <c r="L23" i="23"/>
  <c r="K23" i="23"/>
  <c r="J23" i="23"/>
  <c r="I23" i="23"/>
  <c r="H23" i="23"/>
  <c r="G23" i="23"/>
  <c r="F23" i="23"/>
  <c r="E23" i="23"/>
  <c r="AG22" i="23"/>
  <c r="AF22" i="23"/>
  <c r="AE22" i="23"/>
  <c r="AD22" i="23"/>
  <c r="AC22" i="23"/>
  <c r="AB22" i="23"/>
  <c r="AA22" i="23"/>
  <c r="Z22" i="23"/>
  <c r="Y22" i="23"/>
  <c r="X22" i="23"/>
  <c r="W22" i="23"/>
  <c r="V22" i="23"/>
  <c r="U22" i="23"/>
  <c r="Q22" i="23"/>
  <c r="P22" i="23"/>
  <c r="O22" i="23"/>
  <c r="N22" i="23"/>
  <c r="M22" i="23"/>
  <c r="L22" i="23"/>
  <c r="K22" i="23"/>
  <c r="J22" i="23"/>
  <c r="I22" i="23"/>
  <c r="G22" i="23"/>
  <c r="F22" i="23"/>
  <c r="E22" i="23"/>
  <c r="AG21" i="23"/>
  <c r="AF21" i="23"/>
  <c r="AE21" i="23"/>
  <c r="AD21" i="23"/>
  <c r="AC21" i="23"/>
  <c r="AB21" i="23"/>
  <c r="AA21" i="23"/>
  <c r="Z21" i="23"/>
  <c r="Y21" i="23"/>
  <c r="X21" i="23"/>
  <c r="U21" i="23"/>
  <c r="Q21" i="23"/>
  <c r="P21" i="23"/>
  <c r="O21" i="23"/>
  <c r="N21" i="23"/>
  <c r="M21" i="23"/>
  <c r="L21" i="23"/>
  <c r="K21" i="23"/>
  <c r="J21" i="23"/>
  <c r="I21" i="23"/>
  <c r="H21" i="23"/>
  <c r="G21" i="23"/>
  <c r="F21" i="23"/>
  <c r="E21" i="23"/>
  <c r="Q20" i="23"/>
  <c r="P20" i="23"/>
  <c r="O20" i="23"/>
  <c r="N20" i="23"/>
  <c r="M20" i="23"/>
  <c r="L20" i="23"/>
  <c r="K20" i="23"/>
  <c r="J20" i="23"/>
  <c r="I20" i="23"/>
  <c r="E20" i="23"/>
  <c r="Q19" i="23"/>
  <c r="P19" i="23"/>
  <c r="O19" i="23"/>
  <c r="N19" i="23"/>
  <c r="M19" i="23"/>
  <c r="L19" i="23"/>
  <c r="K19" i="23"/>
  <c r="J19" i="23"/>
  <c r="I19" i="23"/>
  <c r="F19" i="23"/>
  <c r="E19" i="23"/>
  <c r="Q18" i="23"/>
  <c r="P18" i="23"/>
  <c r="O18" i="23"/>
  <c r="N18" i="23"/>
  <c r="M18" i="23"/>
  <c r="L18" i="23"/>
  <c r="K18" i="23"/>
  <c r="J18" i="23"/>
  <c r="I18" i="23"/>
  <c r="E18" i="23"/>
  <c r="Q17" i="23"/>
  <c r="P17" i="23"/>
  <c r="O17" i="23"/>
  <c r="N17" i="23"/>
  <c r="M17" i="23"/>
  <c r="L17" i="23"/>
  <c r="K17" i="23"/>
  <c r="J17" i="23"/>
  <c r="I17" i="23"/>
  <c r="E17" i="23"/>
  <c r="AG16" i="23"/>
  <c r="AF16" i="23"/>
  <c r="AE16" i="23"/>
  <c r="AD16" i="23"/>
  <c r="AC16" i="23"/>
  <c r="AB16" i="23"/>
  <c r="AA16" i="23"/>
  <c r="Z16" i="23"/>
  <c r="Y16" i="23"/>
  <c r="X16" i="23"/>
  <c r="Q16" i="23"/>
  <c r="P16" i="23"/>
  <c r="O16" i="23"/>
  <c r="N16" i="23"/>
  <c r="M16" i="23"/>
  <c r="L16" i="23"/>
  <c r="K16" i="23"/>
  <c r="J16" i="23"/>
  <c r="I16" i="23"/>
  <c r="H16" i="23"/>
  <c r="G16" i="23"/>
  <c r="F16" i="23"/>
  <c r="E16" i="23"/>
  <c r="Q15" i="23"/>
  <c r="P15" i="23"/>
  <c r="O15" i="23"/>
  <c r="N15" i="23"/>
  <c r="M15" i="23"/>
  <c r="L15" i="23"/>
  <c r="K15" i="23"/>
  <c r="J15" i="23"/>
  <c r="I15" i="23"/>
  <c r="H15" i="23"/>
  <c r="G15" i="23"/>
  <c r="F15" i="23"/>
  <c r="E15" i="23"/>
  <c r="Q14" i="23"/>
  <c r="P14" i="23"/>
  <c r="O14" i="23"/>
  <c r="N14" i="23"/>
  <c r="M14" i="23"/>
  <c r="L14" i="23"/>
  <c r="K14" i="23"/>
  <c r="J14" i="23"/>
  <c r="I14" i="23"/>
  <c r="H14" i="23"/>
  <c r="G14" i="23"/>
  <c r="F14" i="23"/>
  <c r="E14" i="23"/>
  <c r="S13" i="23"/>
  <c r="Q13" i="23"/>
  <c r="P13" i="23"/>
  <c r="O13" i="23"/>
  <c r="N13" i="23"/>
  <c r="M13" i="23"/>
  <c r="L13" i="23"/>
  <c r="K13" i="23"/>
  <c r="J13" i="23"/>
  <c r="I13" i="23"/>
  <c r="H13" i="23"/>
  <c r="E13" i="23"/>
  <c r="A13" i="23"/>
  <c r="Q12" i="23"/>
  <c r="P12" i="23"/>
  <c r="O12" i="23"/>
  <c r="N12" i="23"/>
  <c r="M12" i="23"/>
  <c r="L12" i="23"/>
  <c r="K12" i="23"/>
  <c r="J12" i="23"/>
  <c r="I12" i="23"/>
  <c r="E12" i="23"/>
  <c r="A12" i="23"/>
  <c r="S11" i="23"/>
  <c r="Q11" i="23"/>
  <c r="P11" i="23"/>
  <c r="O11" i="23"/>
  <c r="N11" i="23"/>
  <c r="M11" i="23"/>
  <c r="L11" i="23"/>
  <c r="K11" i="23"/>
  <c r="J11" i="23"/>
  <c r="I11" i="23"/>
  <c r="E11" i="23"/>
  <c r="A11" i="23"/>
  <c r="S10" i="23"/>
  <c r="Q10" i="23"/>
  <c r="P10" i="23"/>
  <c r="O10" i="23"/>
  <c r="N10" i="23"/>
  <c r="M10" i="23"/>
  <c r="L10" i="23"/>
  <c r="K10" i="23"/>
  <c r="J10" i="23"/>
  <c r="I10" i="23"/>
  <c r="F10" i="23"/>
  <c r="E10" i="23"/>
  <c r="A10" i="23"/>
  <c r="S9" i="23"/>
  <c r="Q9" i="23"/>
  <c r="P9" i="23"/>
  <c r="O9" i="23"/>
  <c r="N9" i="23"/>
  <c r="M9" i="23"/>
  <c r="L9" i="23"/>
  <c r="K9" i="23"/>
  <c r="J9" i="23"/>
  <c r="I9" i="23"/>
  <c r="E9" i="23"/>
  <c r="A9" i="23"/>
  <c r="S8" i="23"/>
  <c r="Q8" i="23"/>
  <c r="P8" i="23"/>
  <c r="O8" i="23"/>
  <c r="N8" i="23"/>
  <c r="M8" i="23"/>
  <c r="L8" i="23"/>
  <c r="K8" i="23"/>
  <c r="J8" i="23"/>
  <c r="I8" i="23"/>
  <c r="E8" i="23"/>
  <c r="A8" i="23"/>
  <c r="S7" i="23"/>
  <c r="Q7" i="23"/>
  <c r="P7" i="23"/>
  <c r="O7" i="23"/>
  <c r="N7" i="23"/>
  <c r="M7" i="23"/>
  <c r="L7" i="23"/>
  <c r="K7" i="23"/>
  <c r="J7" i="23"/>
  <c r="I7" i="23"/>
  <c r="H7" i="23"/>
  <c r="G7" i="23"/>
  <c r="F7" i="23"/>
  <c r="E7" i="23"/>
  <c r="A7" i="23"/>
  <c r="S6" i="23"/>
  <c r="Q6" i="23"/>
  <c r="P6" i="23"/>
  <c r="O6" i="23"/>
  <c r="N6" i="23"/>
  <c r="M6" i="23"/>
  <c r="L6" i="23"/>
  <c r="K6" i="23"/>
  <c r="J6" i="23"/>
  <c r="I6" i="23"/>
  <c r="H6" i="23"/>
  <c r="G6" i="23"/>
  <c r="F6" i="23"/>
  <c r="E6" i="23"/>
  <c r="A6" i="23"/>
  <c r="Q5" i="23"/>
  <c r="P5" i="23"/>
  <c r="O5" i="23"/>
  <c r="N5" i="23"/>
  <c r="M5" i="23"/>
  <c r="L5" i="23"/>
  <c r="K5" i="23"/>
  <c r="J5" i="23"/>
  <c r="I5" i="23"/>
  <c r="H5" i="23"/>
  <c r="G5" i="23"/>
  <c r="F5" i="23"/>
  <c r="E5" i="23"/>
  <c r="AG4" i="23"/>
  <c r="AF4" i="23"/>
  <c r="AE4" i="23"/>
  <c r="AD4" i="23"/>
  <c r="AC4" i="23"/>
  <c r="AB4" i="23"/>
  <c r="AA4" i="23"/>
  <c r="AG3" i="23"/>
  <c r="AF3" i="23"/>
  <c r="AE3" i="23"/>
  <c r="AD3" i="23"/>
  <c r="AC3" i="23"/>
  <c r="AB3" i="23"/>
  <c r="AA3" i="23"/>
  <c r="Z3" i="23"/>
  <c r="Y3" i="23"/>
  <c r="X3" i="23"/>
  <c r="H1" i="23"/>
  <c r="G1" i="23"/>
  <c r="F1" i="23"/>
  <c r="E1" i="23"/>
  <c r="S14" i="1"/>
  <c r="R14" i="1"/>
  <c r="Q14" i="1"/>
  <c r="P14" i="1"/>
  <c r="O14" i="1"/>
  <c r="N14" i="1"/>
  <c r="M14" i="1"/>
  <c r="L14" i="1"/>
  <c r="K14" i="1"/>
  <c r="J14" i="1"/>
  <c r="I14" i="1"/>
  <c r="H14" i="1"/>
  <c r="F14" i="1"/>
  <c r="E14" i="1"/>
  <c r="D14" i="1"/>
  <c r="C14" i="1"/>
  <c r="S13" i="1"/>
  <c r="R13" i="1"/>
  <c r="Q13" i="1"/>
  <c r="P13" i="1"/>
  <c r="O13" i="1"/>
  <c r="N13" i="1"/>
  <c r="M13" i="1"/>
  <c r="L13" i="1"/>
  <c r="K13" i="1"/>
  <c r="J13" i="1"/>
  <c r="I13" i="1"/>
  <c r="H13" i="1"/>
  <c r="F13" i="1"/>
  <c r="D13" i="1"/>
  <c r="C13" i="1"/>
  <c r="G12" i="1"/>
  <c r="T12" i="1" s="1"/>
  <c r="F12" i="1"/>
  <c r="D12" i="1"/>
  <c r="C12" i="1"/>
  <c r="S11" i="1"/>
  <c r="R11" i="1"/>
  <c r="Q11" i="1"/>
  <c r="P11" i="1"/>
  <c r="O11" i="1"/>
  <c r="N11" i="1"/>
  <c r="M11" i="1"/>
  <c r="L11" i="1"/>
  <c r="K11" i="1"/>
  <c r="J11" i="1"/>
  <c r="I11" i="1"/>
  <c r="H11" i="1"/>
  <c r="F11" i="1"/>
  <c r="D11" i="1"/>
  <c r="C11" i="1"/>
  <c r="S10" i="1"/>
  <c r="R10" i="1"/>
  <c r="Q10" i="1"/>
  <c r="P10" i="1"/>
  <c r="O10" i="1"/>
  <c r="N10" i="1"/>
  <c r="M10" i="1"/>
  <c r="L10" i="1"/>
  <c r="K10" i="1"/>
  <c r="J10" i="1"/>
  <c r="I10" i="1"/>
  <c r="H10" i="1"/>
  <c r="G10" i="1"/>
  <c r="F10" i="1"/>
  <c r="D10" i="1"/>
  <c r="C10" i="1"/>
  <c r="S9" i="1"/>
  <c r="R9" i="1"/>
  <c r="Q9" i="1"/>
  <c r="P9" i="1"/>
  <c r="O9" i="1"/>
  <c r="N9" i="1"/>
  <c r="M9" i="1"/>
  <c r="L9" i="1"/>
  <c r="K9" i="1"/>
  <c r="J9" i="1"/>
  <c r="I9" i="1"/>
  <c r="H9" i="1"/>
  <c r="F9" i="1"/>
  <c r="E9" i="1"/>
  <c r="D9" i="1"/>
  <c r="C9" i="1"/>
  <c r="S8" i="1"/>
  <c r="R8" i="1"/>
  <c r="Q8" i="1"/>
  <c r="P8" i="1"/>
  <c r="O8" i="1"/>
  <c r="N8" i="1"/>
  <c r="M8" i="1"/>
  <c r="L8" i="1"/>
  <c r="K8" i="1"/>
  <c r="J8" i="1"/>
  <c r="I8" i="1"/>
  <c r="H8" i="1"/>
  <c r="F8" i="1"/>
  <c r="E8" i="1"/>
  <c r="D8" i="1"/>
  <c r="C8" i="1"/>
  <c r="S7" i="1"/>
  <c r="R7" i="1"/>
  <c r="Q7" i="1"/>
  <c r="P7" i="1"/>
  <c r="O7" i="1"/>
  <c r="N7" i="1"/>
  <c r="M7" i="1"/>
  <c r="L7" i="1"/>
  <c r="K7" i="1"/>
  <c r="J7" i="1"/>
  <c r="I7" i="1"/>
  <c r="H7" i="1"/>
  <c r="G7" i="1"/>
  <c r="F7" i="1"/>
  <c r="E7" i="1"/>
  <c r="D7" i="1"/>
  <c r="C7" i="1"/>
  <c r="S6" i="1"/>
  <c r="R6" i="1"/>
  <c r="Q6" i="1"/>
  <c r="P6" i="1"/>
  <c r="O6" i="1"/>
  <c r="N6" i="1"/>
  <c r="M6" i="1"/>
  <c r="L6" i="1"/>
  <c r="K6" i="1"/>
  <c r="J6" i="1"/>
  <c r="I6" i="1"/>
  <c r="H6" i="1"/>
  <c r="F6" i="1"/>
  <c r="E6" i="1"/>
  <c r="D6" i="1"/>
  <c r="C6" i="1"/>
  <c r="S5" i="1"/>
  <c r="R5" i="1"/>
  <c r="Q5" i="1"/>
  <c r="P5" i="1"/>
  <c r="O5" i="1"/>
  <c r="N5" i="1"/>
  <c r="M5" i="1"/>
  <c r="L5" i="1"/>
  <c r="K5" i="1"/>
  <c r="J5" i="1"/>
  <c r="I5" i="1"/>
  <c r="H5" i="1"/>
  <c r="F5" i="1"/>
  <c r="D5" i="1"/>
  <c r="C5" i="1"/>
  <c r="M13" i="8"/>
  <c r="G14" i="1" s="1"/>
  <c r="L13" i="8"/>
  <c r="N13" i="8" s="1"/>
  <c r="M12" i="8"/>
  <c r="G13" i="1" s="1"/>
  <c r="T13" i="1" s="1"/>
  <c r="N11" i="8"/>
  <c r="M10" i="8"/>
  <c r="G11" i="1" s="1"/>
  <c r="L10" i="8"/>
  <c r="M9" i="8"/>
  <c r="L9" i="8"/>
  <c r="N9" i="8" s="1"/>
  <c r="M8" i="8"/>
  <c r="N8" i="8" s="1"/>
  <c r="N7" i="8"/>
  <c r="M7" i="8"/>
  <c r="G8" i="1" s="1"/>
  <c r="L7" i="8"/>
  <c r="M6" i="8"/>
  <c r="N6" i="8" s="1"/>
  <c r="N5" i="8"/>
  <c r="M5" i="8"/>
  <c r="G6" i="1" s="1"/>
  <c r="M4" i="8"/>
  <c r="G5" i="1" s="1"/>
  <c r="T7" i="1" l="1"/>
  <c r="T14" i="1"/>
  <c r="T6" i="1"/>
  <c r="T5" i="1"/>
  <c r="T10" i="1"/>
  <c r="T8" i="1"/>
  <c r="N10" i="8"/>
  <c r="N4" i="8"/>
  <c r="G9" i="1"/>
  <c r="T9" i="1" s="1"/>
  <c r="N12"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zhangyunchang</author>
  </authors>
  <commentList>
    <comment ref="H3" authorId="0" shapeId="0" xr:uid="{00000000-0006-0000-0000-000001000000}">
      <text>
        <r>
          <rPr>
            <b/>
            <sz val="9"/>
            <rFont val="宋体"/>
            <charset val="134"/>
          </rPr>
          <t>zhangyunchang:</t>
        </r>
        <r>
          <rPr>
            <sz val="9"/>
            <rFont val="宋体"/>
            <charset val="134"/>
          </rPr>
          <t xml:space="preserve">
只针对业务类指标填写此列</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dengc</author>
  </authors>
  <commentList>
    <comment ref="M13" authorId="0" shapeId="0" xr:uid="{00000000-0006-0000-0200-000001000000}">
      <text>
        <r>
          <rPr>
            <b/>
            <sz val="9"/>
            <rFont val="宋体"/>
            <charset val="134"/>
          </rPr>
          <t>dengc:</t>
        </r>
        <r>
          <rPr>
            <sz val="9"/>
            <rFont val="宋体"/>
            <charset val="134"/>
          </rPr>
          <t xml:space="preserve">
中国标准化协会-OPC标准立项、中国教育发展战略学会-人工智能标准立项
</t>
        </r>
      </text>
    </comment>
    <comment ref="J22" authorId="0" shapeId="0" xr:uid="{00000000-0006-0000-0200-000002000000}">
      <text>
        <r>
          <rPr>
            <b/>
            <sz val="9"/>
            <rFont val="宋体"/>
            <charset val="134"/>
          </rPr>
          <t>dengc:</t>
        </r>
        <r>
          <rPr>
            <sz val="9"/>
            <rFont val="宋体"/>
            <charset val="134"/>
          </rPr>
          <t xml:space="preserve">
中国标准化协会-OPC标准立项、中国教育发展战略学会-人工智能标准立项</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dengc</author>
    <author>lrs</author>
  </authors>
  <commentList>
    <comment ref="M8" authorId="0" shapeId="0" xr:uid="{00000000-0006-0000-0300-000001000000}">
      <text>
        <r>
          <rPr>
            <b/>
            <sz val="9"/>
            <rFont val="宋体"/>
            <charset val="134"/>
          </rPr>
          <t>dengc:</t>
        </r>
        <r>
          <rPr>
            <sz val="9"/>
            <rFont val="宋体"/>
            <charset val="134"/>
          </rPr>
          <t xml:space="preserve">
中国标准化协会-OPC标准立项、中国教育发展战略学会-人工智能标准立项</t>
        </r>
      </text>
    </comment>
    <comment ref="N8" authorId="0" shapeId="0" xr:uid="{00000000-0006-0000-0300-000002000000}">
      <text>
        <r>
          <rPr>
            <b/>
            <sz val="9"/>
            <rFont val="宋体"/>
            <charset val="134"/>
          </rPr>
          <t>dengc:</t>
        </r>
        <r>
          <rPr>
            <sz val="9"/>
            <rFont val="宋体"/>
            <charset val="134"/>
          </rPr>
          <t xml:space="preserve">
中国标准化协会-OPC标准立项、中国教育发展战略学会-人工智能标准立项
</t>
        </r>
      </text>
    </comment>
    <comment ref="C11" authorId="1" shapeId="0" xr:uid="{00000000-0006-0000-0300-000003000000}">
      <text>
        <r>
          <rPr>
            <b/>
            <sz val="9"/>
            <rFont val="宋体"/>
            <charset val="134"/>
          </rPr>
          <t>lrs:</t>
        </r>
        <r>
          <rPr>
            <sz val="9"/>
            <rFont val="宋体"/>
            <charset val="134"/>
          </rPr>
          <t xml:space="preserve">
拆分主要项目</t>
        </r>
      </text>
    </comment>
    <comment ref="J16" authorId="0" shapeId="0" xr:uid="{00000000-0006-0000-0300-000004000000}">
      <text>
        <r>
          <rPr>
            <b/>
            <sz val="9"/>
            <rFont val="宋体"/>
            <charset val="134"/>
          </rPr>
          <t>dengc:</t>
        </r>
        <r>
          <rPr>
            <sz val="9"/>
            <rFont val="宋体"/>
            <charset val="134"/>
          </rPr>
          <t xml:space="preserve">
中国标准化协会-OPC标准立项、中国教育发展战略学会-人工智能标准立项
</t>
        </r>
      </text>
    </comment>
    <comment ref="K16" authorId="0" shapeId="0" xr:uid="{00000000-0006-0000-0300-000005000000}">
      <text>
        <r>
          <rPr>
            <b/>
            <sz val="9"/>
            <rFont val="宋体"/>
            <charset val="134"/>
          </rPr>
          <t>dengc:</t>
        </r>
        <r>
          <rPr>
            <sz val="9"/>
            <rFont val="宋体"/>
            <charset val="134"/>
          </rPr>
          <t xml:space="preserve">
中国标准化协会-OPC标准立项、中国教育发展战略学会-人工智能标准立项
</t>
        </r>
      </text>
    </comment>
    <comment ref="C20" authorId="1" shapeId="0" xr:uid="{00000000-0006-0000-0300-000006000000}">
      <text>
        <r>
          <rPr>
            <b/>
            <sz val="9"/>
            <rFont val="宋体"/>
            <charset val="134"/>
          </rPr>
          <t>lrs:</t>
        </r>
        <r>
          <rPr>
            <sz val="9"/>
            <rFont val="宋体"/>
            <charset val="134"/>
          </rPr>
          <t xml:space="preserve">
拆分主要项目</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dengc</author>
  </authors>
  <commentList>
    <comment ref="D9" authorId="0" shapeId="0" xr:uid="{00000000-0006-0000-0400-000001000000}">
      <text>
        <r>
          <rPr>
            <b/>
            <sz val="9"/>
            <rFont val="宋体"/>
            <charset val="134"/>
          </rPr>
          <t>dengc:</t>
        </r>
        <r>
          <rPr>
            <sz val="9"/>
            <rFont val="宋体"/>
            <charset val="134"/>
          </rPr>
          <t xml:space="preserve">
培训+剥皮</t>
        </r>
      </text>
    </comment>
  </commentList>
</comments>
</file>

<file path=xl/sharedStrings.xml><?xml version="1.0" encoding="utf-8"?>
<sst xmlns="http://schemas.openxmlformats.org/spreadsheetml/2006/main" count="490" uniqueCount="184">
  <si>
    <t>2026年度经营指标及目标</t>
  </si>
  <si>
    <t>序号</t>
  </si>
  <si>
    <t>企业名称</t>
  </si>
  <si>
    <t>指标类别</t>
  </si>
  <si>
    <t>类型</t>
  </si>
  <si>
    <t>指标名称</t>
  </si>
  <si>
    <t>板块/公司/产品</t>
  </si>
  <si>
    <t>重点任务/项目名称</t>
  </si>
  <si>
    <t>计量
单位</t>
  </si>
  <si>
    <t>2023年
实际数</t>
  </si>
  <si>
    <t>2024年
实际数</t>
  </si>
  <si>
    <t>2025年
预计数</t>
  </si>
  <si>
    <t>2026年
拟定目标值</t>
  </si>
  <si>
    <t>差值
（26年-25年）</t>
  </si>
  <si>
    <t>备注
（目标值同比变动幅度±10%，请说明原因）</t>
  </si>
  <si>
    <t>北京海创元人工智能教育科技有限公司</t>
  </si>
  <si>
    <t>业绩类指标</t>
  </si>
  <si>
    <t>考核</t>
  </si>
  <si>
    <t>营业收入</t>
  </si>
  <si>
    <t>海创元</t>
  </si>
  <si>
    <t>万元</t>
  </si>
  <si>
    <t>2025年考核标准为合同签约额，2026年考核标准为财务收入，在此说明</t>
  </si>
  <si>
    <t>利润总额</t>
  </si>
  <si>
    <t>销管研费用</t>
  </si>
  <si>
    <t>关注</t>
  </si>
  <si>
    <t>成本费用总额</t>
  </si>
  <si>
    <t>经营活动产生的现金流量净额</t>
  </si>
  <si>
    <t>销售回款</t>
  </si>
  <si>
    <t>经营性净现金流利润
（净利润+非付现）</t>
  </si>
  <si>
    <t>任务类指标</t>
  </si>
  <si>
    <t>签约渠道</t>
  </si>
  <si>
    <t>家</t>
  </si>
  <si>
    <t>OPC接单金额</t>
  </si>
  <si>
    <t>年度实现毛利</t>
  </si>
  <si>
    <t>附注：</t>
  </si>
  <si>
    <t>1、年度经营业绩考核指标从以上经营指标中选取，分为业绩类指标、任务类指标及管理类指标，其中：
（1）业绩类指标包括收入、利润、现金流等，涉及财务类经营数据以财务报表为基础
（2）任务类指标包括与企业主业发展关联度高的核心运营指标、围绕主责主业承担的服务区域经济社会发展的重点工作和专项任务指标、年内重点管理提升工作等</t>
  </si>
  <si>
    <t>2、关于任务类指标，举例如下，具体由企业根据自身情况拟定，并在备注中说明指标核算逻辑及公式：</t>
  </si>
  <si>
    <t>（1）市场营销方面：如销量、价格、去化面积/去化率、租赁面积、房屋出租率、贸易量、业务额、年度回款额、客流量（车）、运营车辆数、在校生数量等。</t>
  </si>
  <si>
    <t>（2）生产管理方面：如原料加工量、产量、产能利用率（装置负荷率或设备有效运行时间等）、产品加工成本/生产成本等。</t>
  </si>
  <si>
    <t>（3）资产运营方面：如固定资产投资完成率、存货周转率、应收账款周转率等。</t>
  </si>
  <si>
    <t>（4）项目管理方面：如重点项目里程碑以及进度、成本等方面控制指标。</t>
  </si>
  <si>
    <t>（5）其他业务方面：除以上指标外的其他业务指标，如人均效能等。</t>
  </si>
  <si>
    <t>3、若经营目标值较去年同期相比变动幅度±10%，请在备注中解释说明原因。</t>
  </si>
  <si>
    <t>4、若企业涉及多板块业务，在指标分类基础上，请按板块、公司等分类列示；若不涉及则直接填写“/”。</t>
  </si>
  <si>
    <t>5、以上内容涉及的企业发展规划、项目资料、历史数据、测算明细表等与经营计划一并提供，并根据集团经营部需要补充。</t>
  </si>
  <si>
    <t>2026年经营指标分解</t>
  </si>
  <si>
    <t>年度目标</t>
  </si>
  <si>
    <t>年度目标分解</t>
  </si>
  <si>
    <t>1月</t>
  </si>
  <si>
    <t>2月</t>
  </si>
  <si>
    <t>3月</t>
  </si>
  <si>
    <t>4月</t>
  </si>
  <si>
    <t>5月</t>
  </si>
  <si>
    <t>6月</t>
  </si>
  <si>
    <t>7月</t>
  </si>
  <si>
    <t>8月</t>
  </si>
  <si>
    <t>9月</t>
  </si>
  <si>
    <t>10月</t>
  </si>
  <si>
    <t>11月</t>
  </si>
  <si>
    <t>12月</t>
  </si>
  <si>
    <t>校验</t>
  </si>
  <si>
    <t>新版本</t>
  </si>
  <si>
    <t>2026年经营性净现金流利润编制明细</t>
  </si>
  <si>
    <t>项目</t>
  </si>
  <si>
    <t>合计</t>
  </si>
  <si>
    <t>科目</t>
  </si>
  <si>
    <t>备注</t>
  </si>
  <si>
    <t>学校签约节奏</t>
  </si>
  <si>
    <r>
      <rPr>
        <b/>
        <sz val="10"/>
        <rFont val="宋体"/>
        <charset val="134"/>
      </rPr>
      <t>2月</t>
    </r>
  </si>
  <si>
    <r>
      <rPr>
        <b/>
        <sz val="10"/>
        <rFont val="宋体"/>
        <charset val="134"/>
      </rPr>
      <t>3月</t>
    </r>
  </si>
  <si>
    <r>
      <rPr>
        <b/>
        <sz val="10"/>
        <rFont val="宋体"/>
        <charset val="134"/>
      </rPr>
      <t>4月</t>
    </r>
  </si>
  <si>
    <r>
      <rPr>
        <b/>
        <sz val="10"/>
        <rFont val="宋体"/>
        <charset val="134"/>
      </rPr>
      <t>5月</t>
    </r>
  </si>
  <si>
    <r>
      <rPr>
        <b/>
        <sz val="10"/>
        <rFont val="宋体"/>
        <charset val="134"/>
      </rPr>
      <t>6月</t>
    </r>
  </si>
  <si>
    <r>
      <rPr>
        <b/>
        <sz val="10"/>
        <rFont val="宋体"/>
        <charset val="134"/>
      </rPr>
      <t>7月</t>
    </r>
  </si>
  <si>
    <r>
      <rPr>
        <b/>
        <sz val="10"/>
        <rFont val="宋体"/>
        <charset val="134"/>
      </rPr>
      <t>8月</t>
    </r>
  </si>
  <si>
    <r>
      <rPr>
        <b/>
        <sz val="10"/>
        <rFont val="宋体"/>
        <charset val="134"/>
      </rPr>
      <t>9月</t>
    </r>
  </si>
  <si>
    <r>
      <rPr>
        <b/>
        <sz val="10"/>
        <rFont val="宋体"/>
        <charset val="134"/>
      </rPr>
      <t>10月</t>
    </r>
  </si>
  <si>
    <r>
      <rPr>
        <b/>
        <sz val="10"/>
        <rFont val="宋体"/>
        <charset val="134"/>
      </rPr>
      <t>11月</t>
    </r>
  </si>
  <si>
    <r>
      <rPr>
        <b/>
        <sz val="10"/>
        <rFont val="宋体"/>
        <charset val="134"/>
      </rPr>
      <t>12月</t>
    </r>
  </si>
  <si>
    <t>主营业务收入</t>
  </si>
  <si>
    <t>AI教育进校业务</t>
  </si>
  <si>
    <t>师资培训与等级认证</t>
  </si>
  <si>
    <t>政企AI赋能业务</t>
  </si>
  <si>
    <t>AI研学</t>
  </si>
  <si>
    <t>OPC生态</t>
  </si>
  <si>
    <t>不良资产盘活</t>
  </si>
  <si>
    <t>其他业务收入</t>
  </si>
  <si>
    <t>主营业务成本</t>
  </si>
  <si>
    <t>增值税</t>
  </si>
  <si>
    <t>城建税及附加</t>
  </si>
  <si>
    <t>其他业务</t>
  </si>
  <si>
    <t>税金及附加</t>
  </si>
  <si>
    <t>销售费用</t>
  </si>
  <si>
    <t>其中：折旧费</t>
  </si>
  <si>
    <t xml:space="preserve">      摊销费</t>
  </si>
  <si>
    <t>管理费用</t>
  </si>
  <si>
    <t>研发费用</t>
  </si>
  <si>
    <t>财务费用</t>
  </si>
  <si>
    <t>其中：集团内</t>
  </si>
  <si>
    <t>营业利润</t>
  </si>
  <si>
    <t>加：营业外收入</t>
  </si>
  <si>
    <t>减：营业外支出</t>
  </si>
  <si>
    <t>减：所得税费用</t>
  </si>
  <si>
    <t>净利润</t>
  </si>
  <si>
    <t>非付现成本费用</t>
  </si>
  <si>
    <t xml:space="preserve">      信用减值损失</t>
  </si>
  <si>
    <t xml:space="preserve">      资产减值损失</t>
  </si>
  <si>
    <t xml:space="preserve">      ……</t>
  </si>
  <si>
    <t>CHECK</t>
  </si>
  <si>
    <t>回款进度预估</t>
  </si>
  <si>
    <t>未回款</t>
  </si>
  <si>
    <t>3月/2</t>
  </si>
  <si>
    <t>7月+8月</t>
  </si>
  <si>
    <t>10月+3月/2</t>
  </si>
  <si>
    <t>11月+12月/2</t>
  </si>
  <si>
    <t>2026年经营性资金编制明细</t>
  </si>
  <si>
    <t>年度合计</t>
  </si>
  <si>
    <t>年度计划分解</t>
  </si>
  <si>
    <t>经营活动现金流入</t>
  </si>
  <si>
    <t>销售商品、提供劳务收到的现金</t>
  </si>
  <si>
    <t>其中：主营业务回款</t>
  </si>
  <si>
    <t>其他业务回款</t>
  </si>
  <si>
    <t>……</t>
  </si>
  <si>
    <t>收到的税费返还</t>
  </si>
  <si>
    <t>收到其他与经营活动有关的现金</t>
  </si>
  <si>
    <t>经营活动现金流出</t>
  </si>
  <si>
    <t>购买商品、接受劳务支付的现金</t>
  </si>
  <si>
    <t>其中：主营业务采购成本</t>
  </si>
  <si>
    <t>其他业务采购成本</t>
  </si>
  <si>
    <t>支付给职工及为职工支付的现金</t>
  </si>
  <si>
    <t>支付的各项税费</t>
  </si>
  <si>
    <t>支付其他与经营活动有关的现金</t>
  </si>
  <si>
    <t>经营活动现金净额</t>
  </si>
  <si>
    <t>年度计划分解-Q2预测</t>
  </si>
  <si>
    <t>Q1</t>
  </si>
  <si>
    <t>Q2</t>
  </si>
  <si>
    <t>Q3</t>
  </si>
  <si>
    <t>Q4</t>
  </si>
  <si>
    <t>政企AI赋能培训</t>
  </si>
  <si>
    <t>其他业务收入-智创服务</t>
  </si>
  <si>
    <t>成本总额</t>
  </si>
  <si>
    <t>其他业务成本</t>
  </si>
  <si>
    <t>毛利</t>
  </si>
  <si>
    <t>三费+财务费用</t>
  </si>
  <si>
    <t>税费附加</t>
  </si>
  <si>
    <t>Q2预测</t>
  </si>
  <si>
    <t>合同负债</t>
  </si>
  <si>
    <t>66所学校</t>
  </si>
  <si>
    <t>政企培训</t>
  </si>
  <si>
    <t>实验室改造</t>
  </si>
  <si>
    <t>预测</t>
  </si>
  <si>
    <t>预算</t>
  </si>
  <si>
    <t>收入</t>
  </si>
  <si>
    <t>现金流入</t>
  </si>
  <si>
    <t>现金流出</t>
  </si>
  <si>
    <t>现金流净额</t>
  </si>
  <si>
    <t xml:space="preserve">采购成本 </t>
  </si>
  <si>
    <t>人工成本</t>
  </si>
  <si>
    <t>税费</t>
  </si>
  <si>
    <t>运营费用</t>
  </si>
  <si>
    <t>2026年新版预算数据</t>
  </si>
  <si>
    <t>新版</t>
  </si>
  <si>
    <t>原版</t>
  </si>
  <si>
    <t>差异</t>
  </si>
  <si>
    <t>调减收入108万</t>
  </si>
  <si>
    <t>成本</t>
  </si>
  <si>
    <t>调减成本40万</t>
  </si>
  <si>
    <t>增加opc运营人工成本（4人）73万、调减8投流等费用87万</t>
  </si>
  <si>
    <t>↓</t>
  </si>
  <si>
    <t>经营性现金流入</t>
  </si>
  <si>
    <t>调减回款4万</t>
  </si>
  <si>
    <t>经营性现金流出</t>
  </si>
  <si>
    <t>增加采购支出17万，增加人工成本支出63万，减少投流费用87万</t>
  </si>
  <si>
    <t>现金净流量</t>
  </si>
  <si>
    <t>OPC 生态打造与影响力建设</t>
    <phoneticPr fontId="24" type="noConversion"/>
  </si>
  <si>
    <t>生态联盟年度新增签约</t>
    <phoneticPr fontId="24" type="noConversion"/>
  </si>
  <si>
    <t>家</t>
    <phoneticPr fontId="24" type="noConversion"/>
  </si>
  <si>
    <t>/</t>
    <phoneticPr fontId="24" type="noConversion"/>
  </si>
  <si>
    <t>详见指标分解</t>
    <phoneticPr fontId="24" type="noConversion"/>
  </si>
  <si>
    <t>“接单吧”发布，OPC 累计 注册1,300家</t>
    <phoneticPr fontId="24" type="noConversion"/>
  </si>
  <si>
    <t>合资公司模式梳理+ LEC AI MOU 签署</t>
    <phoneticPr fontId="24" type="noConversion"/>
  </si>
  <si>
    <t>合资公司注册 + 联合运营稳定</t>
    <phoneticPr fontId="24" type="noConversion"/>
  </si>
  <si>
    <t>运营手册 / 案例集 + 正式启动海外业务</t>
    <phoneticPr fontId="24" type="noConversion"/>
  </si>
  <si>
    <t>OPC累计接单金额</t>
    <phoneticPr fontId="2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</si>
</sst>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 #,##0_ ;_ * \-#,##0_ ;_ * &quot;-&quot;_ ;_ @_ "/>
    <numFmt numFmtId="43" formatCode="_ * #,##0.00_ ;_ * \-#,##0.00_ ;_ * &quot;-&quot;??_ ;_ @_ "/>
    <numFmt numFmtId="176" formatCode="_ * #,##0_ ;_ * \-#,##0_ ;_ * &quot;-&quot;??_ ;_ @_ "/>
    <numFmt numFmtId="177" formatCode="0_);[Red]\(0\)"/>
    <numFmt numFmtId="178" formatCode="0.0_);[Red]\(0.0\)"/>
  </numFmts>
  <fonts count="27" x14ac:knownFonts="1">
    <font>
      <sz val="11"/>
      <color theme="1"/>
      <name val="等线"/>
      <charset val="134"/>
      <scheme val="minor"/>
    </font>
    <font>
      <b/>
      <sz val="11"/>
      <color theme="1"/>
      <name val="等线"/>
      <charset val="134"/>
      <scheme val="minor"/>
    </font>
    <font>
      <b/>
      <sz val="11"/>
      <name val="等线"/>
      <charset val="134"/>
      <scheme val="minor"/>
    </font>
    <font>
      <b/>
      <sz val="11"/>
      <color rgb="FFFF0000"/>
      <name val="等线"/>
      <charset val="134"/>
      <scheme val="minor"/>
    </font>
    <font>
      <sz val="11"/>
      <color rgb="FFFF0000"/>
      <name val="等线"/>
      <charset val="134"/>
      <scheme val="minor"/>
    </font>
    <font>
      <b/>
      <sz val="10"/>
      <name val="宋体"/>
      <charset val="134"/>
    </font>
    <font>
      <b/>
      <sz val="10"/>
      <color rgb="FF000000"/>
      <name val="宋体"/>
      <charset val="134"/>
    </font>
    <font>
      <sz val="10"/>
      <color rgb="FF000000"/>
      <name val="宋体"/>
      <charset val="134"/>
    </font>
    <font>
      <b/>
      <sz val="11"/>
      <color theme="0"/>
      <name val="等线"/>
      <charset val="134"/>
      <scheme val="minor"/>
    </font>
    <font>
      <sz val="16"/>
      <name val="方正小标宋简体"/>
      <charset val="134"/>
    </font>
    <font>
      <sz val="10"/>
      <name val="宋体"/>
      <charset val="134"/>
    </font>
    <font>
      <b/>
      <sz val="10"/>
      <color rgb="FFFF0000"/>
      <name val="宋体"/>
      <charset val="134"/>
    </font>
    <font>
      <sz val="11"/>
      <color theme="0"/>
      <name val="等线"/>
      <charset val="134"/>
      <scheme val="minor"/>
    </font>
    <font>
      <b/>
      <sz val="11"/>
      <color theme="1"/>
      <name val="微软雅黑"/>
      <charset val="134"/>
    </font>
    <font>
      <sz val="11"/>
      <color theme="1"/>
      <name val="微软雅黑"/>
      <charset val="134"/>
    </font>
    <font>
      <b/>
      <sz val="11"/>
      <color theme="0"/>
      <name val="微软雅黑"/>
      <charset val="134"/>
    </font>
    <font>
      <sz val="11"/>
      <color theme="0"/>
      <name val="微软雅黑"/>
      <charset val="134"/>
    </font>
    <font>
      <sz val="16"/>
      <color theme="1"/>
      <name val="方正小标宋简体"/>
      <charset val="134"/>
    </font>
    <font>
      <sz val="10"/>
      <color theme="1"/>
      <name val="宋体"/>
      <charset val="134"/>
    </font>
    <font>
      <b/>
      <sz val="10"/>
      <color theme="0"/>
      <name val="宋体"/>
      <charset val="134"/>
    </font>
    <font>
      <b/>
      <sz val="10"/>
      <color theme="1"/>
      <name val="宋体"/>
      <charset val="134"/>
    </font>
    <font>
      <sz val="11"/>
      <color theme="1"/>
      <name val="等线"/>
      <charset val="134"/>
      <scheme val="minor"/>
    </font>
    <font>
      <b/>
      <sz val="9"/>
      <name val="宋体"/>
      <charset val="134"/>
    </font>
    <font>
      <sz val="9"/>
      <name val="宋体"/>
      <charset val="134"/>
    </font>
    <font>
      <sz val="9"/>
      <name val="等线"/>
      <family val="3"/>
      <charset val="134"/>
      <scheme val="minor"/>
    </font>
    <font>
      <sz val="10"/>
      <color rgb="FF000000"/>
      <name val="宋体"/>
      <family val="3"/>
      <charset val="134"/>
    </font>
    <font>
      <sz val="10"/>
      <color theme="1"/>
      <name val="宋体"/>
      <family val="3"/>
      <charset val="134"/>
    </font>
  </fonts>
  <fills count="16">
    <fill>
      <patternFill patternType="none"/>
    </fill>
    <fill>
      <patternFill patternType="gray125"/>
    </fill>
    <fill>
      <patternFill patternType="solid">
        <fgColor theme="4" tint="0.59999389629810485"/>
        <bgColor indexed="64"/>
      </patternFill>
    </fill>
    <fill>
      <patternFill patternType="solid">
        <fgColor theme="2" tint="-9.9978637043366805E-2"/>
        <bgColor indexed="64"/>
      </patternFill>
    </fill>
    <fill>
      <patternFill patternType="solid">
        <fgColor theme="2" tint="-9.9978637043366805E-2"/>
        <bgColor indexed="64"/>
      </patternFill>
    </fill>
    <fill>
      <patternFill patternType="solid">
        <fgColor theme="0"/>
        <bgColor indexed="64"/>
      </patternFill>
    </fill>
    <fill>
      <patternFill patternType="solid">
        <fgColor theme="5" tint="0.79979857783745845"/>
        <bgColor indexed="64"/>
      </patternFill>
    </fill>
    <fill>
      <patternFill patternType="solid">
        <fgColor theme="5"/>
        <bgColor indexed="64"/>
      </patternFill>
    </fill>
    <fill>
      <patternFill patternType="solid">
        <fgColor theme="5" tint="0.79982909634693444"/>
        <bgColor indexed="64"/>
      </patternFill>
    </fill>
    <fill>
      <patternFill patternType="solid">
        <fgColor rgb="FF92D050"/>
        <bgColor indexed="64"/>
      </patternFill>
    </fill>
    <fill>
      <patternFill patternType="solid">
        <fgColor theme="0" tint="-4.9989318521683403E-2"/>
        <bgColor indexed="64"/>
      </patternFill>
    </fill>
    <fill>
      <patternFill patternType="solid">
        <fgColor rgb="FFFFFFFF"/>
        <bgColor indexed="64"/>
      </patternFill>
    </fill>
    <fill>
      <patternFill patternType="solid">
        <fgColor theme="6" tint="0.59999389629810485"/>
        <bgColor indexed="64"/>
      </patternFill>
    </fill>
    <fill>
      <patternFill patternType="solid">
        <fgColor theme="5" tint="0.79989013336588644"/>
        <bgColor indexed="64"/>
      </patternFill>
    </fill>
    <fill>
      <patternFill patternType="solid">
        <fgColor theme="5" tint="0.79973754081850645"/>
        <bgColor indexed="64"/>
      </patternFill>
    </fill>
    <fill>
      <patternFill patternType="solid">
        <fgColor theme="4"/>
        <bgColor theme="4"/>
      </patternFill>
    </fill>
  </fills>
  <borders count="16">
    <border>
      <left/>
      <right/>
      <top/>
      <bottom/>
      <diagonal/>
    </border>
    <border>
      <left style="thin">
        <color auto="1"/>
      </left>
      <right style="thin">
        <color auto="1"/>
      </right>
      <top style="thin">
        <color auto="1"/>
      </top>
      <bottom style="thin">
        <color auto="1"/>
      </bottom>
      <diagonal/>
    </border>
    <border>
      <left style="medium">
        <color auto="1"/>
      </left>
      <right style="medium">
        <color auto="1"/>
      </right>
      <top style="medium">
        <color auto="1"/>
      </top>
      <bottom/>
      <diagonal/>
    </border>
    <border>
      <left style="medium">
        <color auto="1"/>
      </left>
      <right/>
      <top style="medium">
        <color auto="1"/>
      </top>
      <bottom/>
      <diagonal/>
    </border>
    <border>
      <left style="medium">
        <color auto="1"/>
      </left>
      <right style="medium">
        <color auto="1"/>
      </right>
      <top/>
      <bottom style="medium">
        <color auto="1"/>
      </bottom>
      <diagonal/>
    </border>
    <border>
      <left style="medium">
        <color auto="1"/>
      </left>
      <right/>
      <top/>
      <bottom style="medium">
        <color auto="1"/>
      </bottom>
      <diagonal/>
    </border>
    <border>
      <left style="medium">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right/>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bottom/>
      <diagonal/>
    </border>
    <border>
      <left/>
      <right style="medium">
        <color auto="1"/>
      </right>
      <top/>
      <bottom style="medium">
        <color auto="1"/>
      </bottom>
      <diagonal/>
    </border>
    <border>
      <left/>
      <right/>
      <top style="medium">
        <color auto="1"/>
      </top>
      <bottom/>
      <diagonal/>
    </border>
    <border>
      <left/>
      <right style="medium">
        <color auto="1"/>
      </right>
      <top style="medium">
        <color auto="1"/>
      </top>
      <bottom/>
      <diagonal/>
    </border>
    <border>
      <left/>
      <right style="medium">
        <color auto="1"/>
      </right>
      <top/>
      <bottom/>
      <diagonal/>
    </border>
  </borders>
  <cellStyleXfs count="22">
    <xf numFmtId="0" fontId="0" fillId="0" borderId="0"/>
    <xf numFmtId="9" fontId="21" fillId="0" borderId="0" applyFont="0" applyFill="0" applyBorder="0" applyAlignment="0" applyProtection="0">
      <alignment vertical="center"/>
    </xf>
    <xf numFmtId="9" fontId="21" fillId="0" borderId="0" applyFont="0" applyFill="0" applyBorder="0" applyAlignment="0" applyProtection="0">
      <alignment vertical="center"/>
    </xf>
    <xf numFmtId="0" fontId="21" fillId="0" borderId="0">
      <alignment vertical="center"/>
    </xf>
    <xf numFmtId="0" fontId="21" fillId="0" borderId="0">
      <alignment vertical="center"/>
    </xf>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43" fontId="21" fillId="0" borderId="0" applyFont="0" applyFill="0" applyBorder="0" applyAlignment="0" applyProtection="0">
      <alignment vertical="center"/>
    </xf>
    <xf numFmtId="43" fontId="21" fillId="0" borderId="0" applyFont="0" applyFill="0" applyBorder="0" applyAlignment="0" applyProtection="0">
      <alignment vertical="center"/>
    </xf>
    <xf numFmtId="43" fontId="21" fillId="0" borderId="0" applyFont="0" applyFill="0" applyBorder="0" applyAlignment="0" applyProtection="0">
      <alignment vertical="center"/>
    </xf>
    <xf numFmtId="43" fontId="21" fillId="0" borderId="0" applyFont="0" applyFill="0" applyBorder="0" applyAlignment="0" applyProtection="0">
      <alignment vertical="center"/>
    </xf>
    <xf numFmtId="43" fontId="21" fillId="0" borderId="0" applyFont="0" applyFill="0" applyBorder="0" applyAlignment="0" applyProtection="0">
      <alignment vertical="center"/>
    </xf>
    <xf numFmtId="43" fontId="21" fillId="0" borderId="0" applyFont="0" applyFill="0" applyBorder="0" applyAlignment="0" applyProtection="0">
      <alignment vertical="center"/>
    </xf>
    <xf numFmtId="43" fontId="21" fillId="0" borderId="0" applyFont="0" applyFill="0" applyBorder="0" applyAlignment="0" applyProtection="0">
      <alignment vertical="center"/>
    </xf>
  </cellStyleXfs>
  <cellXfs count="165">
    <xf numFmtId="0" fontId="0" fillId="0" borderId="0" xfId="0"/>
    <xf numFmtId="43" fontId="1" fillId="0" borderId="1" xfId="6" applyNumberFormat="1" applyFont="1" applyBorder="1" applyAlignment="1">
      <alignment vertical="center"/>
    </xf>
    <xf numFmtId="176" fontId="1" fillId="0" borderId="1" xfId="6" applyNumberFormat="1" applyFont="1" applyBorder="1" applyAlignment="1">
      <alignment vertical="center"/>
    </xf>
    <xf numFmtId="43" fontId="2" fillId="0" borderId="1" xfId="6" applyNumberFormat="1" applyFont="1" applyBorder="1" applyAlignment="1">
      <alignment vertical="center"/>
    </xf>
    <xf numFmtId="43" fontId="21" fillId="0" borderId="1" xfId="6" applyNumberFormat="1" applyBorder="1" applyAlignment="1">
      <alignment vertical="center"/>
    </xf>
    <xf numFmtId="176" fontId="21" fillId="0" borderId="1" xfId="6" applyNumberFormat="1" applyBorder="1" applyAlignment="1">
      <alignment vertical="center"/>
    </xf>
    <xf numFmtId="43" fontId="3" fillId="0" borderId="1" xfId="6" applyNumberFormat="1" applyFont="1" applyBorder="1" applyAlignment="1">
      <alignment vertical="center"/>
    </xf>
    <xf numFmtId="0" fontId="1" fillId="0" borderId="0" xfId="0" applyFont="1"/>
    <xf numFmtId="43" fontId="0" fillId="0" borderId="0" xfId="0" applyNumberFormat="1"/>
    <xf numFmtId="43" fontId="4" fillId="0" borderId="0" xfId="0" applyNumberFormat="1" applyFont="1"/>
    <xf numFmtId="43" fontId="0" fillId="0" borderId="1" xfId="0" applyNumberFormat="1" applyBorder="1"/>
    <xf numFmtId="0" fontId="6" fillId="3" borderId="6" xfId="17" applyNumberFormat="1" applyFont="1" applyFill="1" applyBorder="1" applyAlignment="1">
      <alignment horizontal="center" vertical="center" wrapText="1"/>
    </xf>
    <xf numFmtId="43" fontId="6" fillId="3" borderId="6" xfId="6" applyNumberFormat="1" applyFont="1" applyFill="1" applyBorder="1" applyAlignment="1">
      <alignment horizontal="justify" vertical="center" wrapText="1"/>
    </xf>
    <xf numFmtId="43" fontId="6" fillId="3" borderId="6" xfId="6" applyNumberFormat="1" applyFont="1" applyFill="1" applyBorder="1" applyAlignment="1">
      <alignment horizontal="center" vertical="center" wrapText="1"/>
    </xf>
    <xf numFmtId="43" fontId="6" fillId="3" borderId="7" xfId="17" applyFont="1" applyFill="1" applyBorder="1" applyAlignment="1">
      <alignment horizontal="left" vertical="center" wrapText="1"/>
    </xf>
    <xf numFmtId="43" fontId="1" fillId="4" borderId="1" xfId="0" applyNumberFormat="1" applyFont="1" applyFill="1" applyBorder="1"/>
    <xf numFmtId="43" fontId="3" fillId="0" borderId="0" xfId="0" applyNumberFormat="1" applyFont="1"/>
    <xf numFmtId="0" fontId="6" fillId="5" borderId="6" xfId="17" applyNumberFormat="1" applyFont="1" applyFill="1" applyBorder="1" applyAlignment="1">
      <alignment horizontal="center" vertical="center" wrapText="1"/>
    </xf>
    <xf numFmtId="43" fontId="6" fillId="5" borderId="6" xfId="6" applyNumberFormat="1" applyFont="1" applyFill="1" applyBorder="1" applyAlignment="1">
      <alignment horizontal="justify" vertical="center" wrapText="1"/>
    </xf>
    <xf numFmtId="43" fontId="6" fillId="5" borderId="6" xfId="6" applyNumberFormat="1" applyFont="1" applyFill="1" applyBorder="1" applyAlignment="1">
      <alignment horizontal="center" vertical="center" wrapText="1"/>
    </xf>
    <xf numFmtId="43" fontId="6" fillId="6" borderId="7" xfId="6" applyNumberFormat="1" applyFont="1" applyFill="1" applyBorder="1" applyAlignment="1">
      <alignment horizontal="right" vertical="center" wrapText="1"/>
    </xf>
    <xf numFmtId="43" fontId="1" fillId="0" borderId="1" xfId="0" applyNumberFormat="1" applyFont="1" applyBorder="1"/>
    <xf numFmtId="0" fontId="1" fillId="7" borderId="0" xfId="0" applyFont="1" applyFill="1"/>
    <xf numFmtId="0" fontId="7" fillId="5" borderId="6" xfId="17" applyNumberFormat="1" applyFont="1" applyFill="1" applyBorder="1" applyAlignment="1">
      <alignment horizontal="center" vertical="center" wrapText="1"/>
    </xf>
    <xf numFmtId="43" fontId="7" fillId="5" borderId="6" xfId="6" applyNumberFormat="1" applyFont="1" applyFill="1" applyBorder="1" applyAlignment="1">
      <alignment horizontal="right" vertical="center" wrapText="1"/>
    </xf>
    <xf numFmtId="43" fontId="7" fillId="5" borderId="6" xfId="6" applyNumberFormat="1" applyFont="1" applyFill="1" applyBorder="1" applyAlignment="1">
      <alignment horizontal="center" vertical="center" wrapText="1"/>
    </xf>
    <xf numFmtId="43" fontId="7" fillId="6" borderId="7" xfId="6" applyNumberFormat="1" applyFont="1" applyFill="1" applyBorder="1" applyAlignment="1">
      <alignment horizontal="right" vertical="center" wrapText="1"/>
    </xf>
    <xf numFmtId="9" fontId="0" fillId="0" borderId="0" xfId="1" applyFont="1" applyAlignment="1"/>
    <xf numFmtId="0" fontId="7" fillId="5" borderId="6" xfId="17" applyNumberFormat="1" applyFont="1" applyFill="1" applyBorder="1" applyAlignment="1">
      <alignment horizontal="right" vertical="center" wrapText="1"/>
    </xf>
    <xf numFmtId="0" fontId="7" fillId="5" borderId="6" xfId="6" applyFont="1" applyFill="1" applyBorder="1" applyAlignment="1">
      <alignment horizontal="center" vertical="center" wrapText="1"/>
    </xf>
    <xf numFmtId="43" fontId="8" fillId="0" borderId="0" xfId="0" applyNumberFormat="1" applyFont="1"/>
    <xf numFmtId="0" fontId="5" fillId="2" borderId="6" xfId="6" applyFont="1" applyFill="1" applyBorder="1" applyAlignment="1">
      <alignment horizontal="center" vertical="center" wrapText="1"/>
    </xf>
    <xf numFmtId="177" fontId="6" fillId="3" borderId="6" xfId="17" applyNumberFormat="1" applyFont="1" applyFill="1" applyBorder="1" applyAlignment="1">
      <alignment horizontal="center" vertical="center" wrapText="1"/>
    </xf>
    <xf numFmtId="0" fontId="6" fillId="3" borderId="6" xfId="6" applyFont="1" applyFill="1" applyBorder="1" applyAlignment="1">
      <alignment horizontal="justify" vertical="center" wrapText="1"/>
    </xf>
    <xf numFmtId="0" fontId="6" fillId="3" borderId="6" xfId="6" applyFont="1" applyFill="1" applyBorder="1" applyAlignment="1">
      <alignment horizontal="center" vertical="center" wrapText="1"/>
    </xf>
    <xf numFmtId="43" fontId="6" fillId="3" borderId="6" xfId="17" applyFont="1" applyFill="1" applyBorder="1" applyAlignment="1">
      <alignment horizontal="justify" vertical="center" wrapText="1"/>
    </xf>
    <xf numFmtId="178" fontId="7" fillId="5" borderId="6" xfId="17" applyNumberFormat="1" applyFont="1" applyFill="1" applyBorder="1" applyAlignment="1">
      <alignment horizontal="center" vertical="center" wrapText="1"/>
    </xf>
    <xf numFmtId="0" fontId="7" fillId="5" borderId="6" xfId="6" applyFont="1" applyFill="1" applyBorder="1" applyAlignment="1">
      <alignment horizontal="justify" vertical="center" wrapText="1"/>
    </xf>
    <xf numFmtId="43" fontId="7" fillId="8" borderId="6" xfId="6" applyNumberFormat="1" applyFont="1" applyFill="1" applyBorder="1" applyAlignment="1">
      <alignment horizontal="justify" vertical="center" wrapText="1"/>
    </xf>
    <xf numFmtId="43" fontId="7" fillId="5" borderId="6" xfId="17" applyFont="1" applyFill="1" applyBorder="1" applyAlignment="1">
      <alignment horizontal="justify" vertical="center" wrapText="1"/>
    </xf>
    <xf numFmtId="0" fontId="7" fillId="5" borderId="6" xfId="6" applyFont="1" applyFill="1" applyBorder="1" applyAlignment="1">
      <alignment horizontal="left" vertical="center" wrapText="1" indent="4"/>
    </xf>
    <xf numFmtId="43" fontId="7" fillId="7" borderId="6" xfId="17" applyFont="1" applyFill="1" applyBorder="1" applyAlignment="1">
      <alignment horizontal="justify" vertical="center" wrapText="1"/>
    </xf>
    <xf numFmtId="178" fontId="7" fillId="0" borderId="6" xfId="17" applyNumberFormat="1" applyFont="1" applyFill="1" applyBorder="1" applyAlignment="1">
      <alignment horizontal="center" vertical="center" wrapText="1"/>
    </xf>
    <xf numFmtId="0" fontId="7" fillId="0" borderId="6" xfId="6" applyFont="1" applyBorder="1" applyAlignment="1">
      <alignment horizontal="justify" vertical="center" wrapText="1"/>
    </xf>
    <xf numFmtId="43" fontId="7" fillId="0" borderId="6" xfId="17" applyFont="1" applyFill="1" applyBorder="1" applyAlignment="1">
      <alignment horizontal="justify" vertical="center" wrapText="1"/>
    </xf>
    <xf numFmtId="43" fontId="7" fillId="0" borderId="2" xfId="17" applyFont="1" applyFill="1" applyBorder="1" applyAlignment="1">
      <alignment horizontal="justify" vertical="center" wrapText="1"/>
    </xf>
    <xf numFmtId="43" fontId="7" fillId="0" borderId="3" xfId="17" applyFont="1" applyFill="1" applyBorder="1" applyAlignment="1">
      <alignment horizontal="justify" vertical="center" wrapText="1"/>
    </xf>
    <xf numFmtId="43" fontId="7" fillId="0" borderId="7" xfId="17" applyFont="1" applyFill="1" applyBorder="1" applyAlignment="1">
      <alignment horizontal="justify" vertical="center" wrapText="1"/>
    </xf>
    <xf numFmtId="43" fontId="10" fillId="0" borderId="6" xfId="17" applyFont="1" applyFill="1" applyBorder="1">
      <alignment vertical="center"/>
    </xf>
    <xf numFmtId="178" fontId="7" fillId="0" borderId="6" xfId="17" applyNumberFormat="1" applyFont="1" applyBorder="1" applyAlignment="1">
      <alignment horizontal="center" vertical="center" wrapText="1"/>
    </xf>
    <xf numFmtId="0" fontId="7" fillId="0" borderId="6" xfId="6" applyFont="1" applyBorder="1" applyAlignment="1">
      <alignment horizontal="center" vertical="center" wrapText="1"/>
    </xf>
    <xf numFmtId="43" fontId="10" fillId="0" borderId="6" xfId="17" applyFont="1" applyBorder="1">
      <alignment vertical="center"/>
    </xf>
    <xf numFmtId="0" fontId="11" fillId="2" borderId="6" xfId="6" applyFont="1" applyFill="1" applyBorder="1" applyAlignment="1">
      <alignment horizontal="center" vertical="center" wrapText="1"/>
    </xf>
    <xf numFmtId="43" fontId="7" fillId="5" borderId="6" xfId="17" applyFont="1" applyFill="1" applyBorder="1" applyAlignment="1" applyProtection="1">
      <alignment horizontal="justify" vertical="center" wrapText="1"/>
      <protection locked="0"/>
    </xf>
    <xf numFmtId="43" fontId="7" fillId="9" borderId="6" xfId="17" applyFont="1" applyFill="1" applyBorder="1" applyAlignment="1">
      <alignment horizontal="justify" vertical="center" wrapText="1"/>
    </xf>
    <xf numFmtId="43" fontId="10" fillId="5" borderId="6" xfId="17" applyFont="1" applyFill="1" applyBorder="1">
      <alignment vertical="center"/>
    </xf>
    <xf numFmtId="43" fontId="21" fillId="0" borderId="0" xfId="6" applyNumberFormat="1" applyAlignment="1">
      <alignment horizontal="right" vertical="center"/>
    </xf>
    <xf numFmtId="43" fontId="21" fillId="5" borderId="0" xfId="6" applyNumberFormat="1" applyFill="1" applyAlignment="1">
      <alignment vertical="center"/>
    </xf>
    <xf numFmtId="43" fontId="21" fillId="5" borderId="0" xfId="6" applyNumberFormat="1" applyFill="1" applyAlignment="1">
      <alignment horizontal="right" vertical="center"/>
    </xf>
    <xf numFmtId="43" fontId="12" fillId="0" borderId="0" xfId="6" applyNumberFormat="1" applyFont="1" applyAlignment="1">
      <alignment vertical="center"/>
    </xf>
    <xf numFmtId="0" fontId="21" fillId="0" borderId="0" xfId="6" applyAlignment="1">
      <alignment vertical="center"/>
    </xf>
    <xf numFmtId="43" fontId="21" fillId="0" borderId="0" xfId="6" applyNumberFormat="1" applyAlignment="1">
      <alignment vertical="center"/>
    </xf>
    <xf numFmtId="43" fontId="21" fillId="0" borderId="0" xfId="6" applyNumberFormat="1" applyAlignment="1">
      <alignment horizontal="center" vertical="center"/>
    </xf>
    <xf numFmtId="43" fontId="21" fillId="0" borderId="0" xfId="6" applyNumberFormat="1" applyAlignment="1">
      <alignment horizontal="left" vertical="center"/>
    </xf>
    <xf numFmtId="43" fontId="0" fillId="0" borderId="0" xfId="1" applyNumberFormat="1" applyFont="1" applyFill="1" applyBorder="1" applyAlignment="1" applyProtection="1">
      <alignment vertical="center"/>
    </xf>
    <xf numFmtId="9" fontId="0" fillId="0" borderId="0" xfId="1" applyFont="1" applyFill="1" applyBorder="1" applyAlignment="1" applyProtection="1">
      <alignment vertical="center"/>
    </xf>
    <xf numFmtId="0" fontId="13" fillId="10" borderId="1" xfId="5" applyFont="1" applyFill="1" applyBorder="1" applyAlignment="1">
      <alignment horizontal="center" vertical="center" wrapText="1"/>
    </xf>
    <xf numFmtId="0" fontId="13" fillId="10" borderId="1" xfId="5" applyFont="1" applyFill="1" applyBorder="1" applyAlignment="1">
      <alignment horizontal="center" vertical="center"/>
    </xf>
    <xf numFmtId="0" fontId="14" fillId="0" borderId="1" xfId="5" applyFont="1" applyBorder="1" applyAlignment="1">
      <alignment horizontal="center" vertical="center" wrapText="1"/>
    </xf>
    <xf numFmtId="0" fontId="14" fillId="0" borderId="1" xfId="5" applyFont="1" applyBorder="1" applyAlignment="1">
      <alignment horizontal="center" vertical="center"/>
    </xf>
    <xf numFmtId="0" fontId="13" fillId="0" borderId="1" xfId="5" applyFont="1" applyBorder="1" applyAlignment="1">
      <alignment horizontal="center" vertical="center"/>
    </xf>
    <xf numFmtId="43" fontId="5" fillId="2" borderId="6" xfId="6" applyNumberFormat="1" applyFont="1" applyFill="1" applyBorder="1" applyAlignment="1">
      <alignment horizontal="center" vertical="center" wrapText="1"/>
    </xf>
    <xf numFmtId="43" fontId="6" fillId="3" borderId="6" xfId="17" applyFont="1" applyFill="1" applyBorder="1" applyAlignment="1">
      <alignment horizontal="left" vertical="center" wrapText="1"/>
    </xf>
    <xf numFmtId="9" fontId="8" fillId="0" borderId="0" xfId="1" applyFont="1" applyFill="1" applyBorder="1" applyAlignment="1" applyProtection="1">
      <alignment vertical="center"/>
    </xf>
    <xf numFmtId="43" fontId="7" fillId="5" borderId="6" xfId="6" applyNumberFormat="1" applyFont="1" applyFill="1" applyBorder="1" applyAlignment="1">
      <alignment horizontal="justify" vertical="center" wrapText="1"/>
    </xf>
    <xf numFmtId="43" fontId="7" fillId="6" borderId="6" xfId="6" applyNumberFormat="1" applyFont="1" applyFill="1" applyBorder="1" applyAlignment="1">
      <alignment horizontal="right" vertical="center" wrapText="1"/>
    </xf>
    <xf numFmtId="9" fontId="12" fillId="0" borderId="0" xfId="1" applyFont="1" applyFill="1" applyBorder="1" applyAlignment="1" applyProtection="1">
      <alignment vertical="center"/>
    </xf>
    <xf numFmtId="43" fontId="7" fillId="5" borderId="6" xfId="17" applyFont="1" applyFill="1" applyBorder="1" applyAlignment="1">
      <alignment horizontal="right" vertical="center" wrapText="1"/>
    </xf>
    <xf numFmtId="43" fontId="7" fillId="0" borderId="6" xfId="17" applyFont="1" applyFill="1" applyBorder="1" applyAlignment="1">
      <alignment horizontal="right" vertical="center" wrapText="1"/>
    </xf>
    <xf numFmtId="43" fontId="7" fillId="7" borderId="6" xfId="17" applyFont="1" applyFill="1" applyBorder="1" applyAlignment="1">
      <alignment horizontal="right" vertical="center" wrapText="1"/>
    </xf>
    <xf numFmtId="0" fontId="15" fillId="10" borderId="1" xfId="5" applyFont="1" applyFill="1" applyBorder="1" applyAlignment="1">
      <alignment horizontal="center" vertical="center" wrapText="1"/>
    </xf>
    <xf numFmtId="0" fontId="15" fillId="10" borderId="1" xfId="5" applyFont="1" applyFill="1" applyBorder="1" applyAlignment="1">
      <alignment horizontal="center" vertical="center"/>
    </xf>
    <xf numFmtId="0" fontId="16" fillId="0" borderId="1" xfId="5" applyFont="1" applyBorder="1" applyAlignment="1">
      <alignment horizontal="center" vertical="center" wrapText="1"/>
    </xf>
    <xf numFmtId="0" fontId="16" fillId="0" borderId="1" xfId="5" applyFont="1" applyBorder="1" applyAlignment="1">
      <alignment horizontal="center" vertical="center"/>
    </xf>
    <xf numFmtId="43" fontId="16" fillId="0" borderId="1" xfId="5" applyNumberFormat="1" applyFont="1" applyBorder="1" applyAlignment="1">
      <alignment horizontal="center" vertical="center"/>
    </xf>
    <xf numFmtId="43" fontId="15" fillId="0" borderId="1" xfId="5" applyNumberFormat="1" applyFont="1" applyBorder="1" applyAlignment="1">
      <alignment horizontal="center" vertical="center"/>
    </xf>
    <xf numFmtId="43" fontId="12" fillId="0" borderId="0" xfId="6" applyNumberFormat="1" applyFont="1" applyAlignment="1">
      <alignment horizontal="right" vertical="center"/>
    </xf>
    <xf numFmtId="43" fontId="12" fillId="0" borderId="1" xfId="6" applyNumberFormat="1" applyFont="1" applyBorder="1" applyAlignment="1">
      <alignment vertical="center"/>
    </xf>
    <xf numFmtId="43" fontId="7" fillId="6" borderId="6" xfId="6" applyNumberFormat="1" applyFont="1" applyFill="1" applyBorder="1" applyAlignment="1">
      <alignment horizontal="left" vertical="center" wrapText="1"/>
    </xf>
    <xf numFmtId="43" fontId="10" fillId="11" borderId="6" xfId="17" applyFont="1" applyFill="1" applyBorder="1">
      <alignment vertical="center"/>
    </xf>
    <xf numFmtId="0" fontId="12" fillId="0" borderId="0" xfId="6" applyFont="1" applyAlignment="1">
      <alignment vertical="center"/>
    </xf>
    <xf numFmtId="43" fontId="12" fillId="0" borderId="0" xfId="6" applyNumberFormat="1" applyFont="1" applyAlignment="1">
      <alignment horizontal="center" vertical="center"/>
    </xf>
    <xf numFmtId="43" fontId="4" fillId="0" borderId="0" xfId="6" applyNumberFormat="1" applyFont="1" applyAlignment="1">
      <alignment horizontal="left" vertical="center"/>
    </xf>
    <xf numFmtId="9" fontId="0" fillId="0" borderId="0" xfId="1" applyFont="1" applyFill="1" applyBorder="1" applyAlignment="1" applyProtection="1">
      <alignment horizontal="left" vertical="center"/>
    </xf>
    <xf numFmtId="0" fontId="6" fillId="2" borderId="10" xfId="0" applyFont="1" applyFill="1" applyBorder="1" applyAlignment="1">
      <alignment horizontal="center" vertical="center" wrapText="1"/>
    </xf>
    <xf numFmtId="0" fontId="6" fillId="12" borderId="11" xfId="0" applyFont="1" applyFill="1" applyBorder="1" applyAlignment="1">
      <alignment horizontal="center" vertical="center" wrapText="1"/>
    </xf>
    <xf numFmtId="0" fontId="7" fillId="0" borderId="6" xfId="0" applyFont="1" applyBorder="1" applyAlignment="1">
      <alignment horizontal="center" vertical="center" wrapText="1"/>
    </xf>
    <xf numFmtId="0" fontId="7" fillId="13" borderId="6" xfId="0" applyFont="1" applyFill="1" applyBorder="1" applyAlignment="1">
      <alignment horizontal="center" vertical="center" wrapText="1"/>
    </xf>
    <xf numFmtId="0" fontId="7" fillId="13" borderId="6" xfId="0" applyFont="1" applyFill="1" applyBorder="1" applyAlignment="1">
      <alignment horizontal="left" vertical="center" wrapText="1"/>
    </xf>
    <xf numFmtId="43" fontId="18" fillId="14" borderId="6" xfId="17" applyFont="1" applyFill="1" applyBorder="1" applyAlignment="1">
      <alignment horizontal="justify" vertical="center" wrapText="1"/>
    </xf>
    <xf numFmtId="43" fontId="7" fillId="0" borderId="12" xfId="17" applyFont="1" applyBorder="1" applyAlignment="1">
      <alignment vertical="center" wrapText="1"/>
    </xf>
    <xf numFmtId="43" fontId="7" fillId="0" borderId="12" xfId="17" applyFont="1" applyBorder="1" applyAlignment="1">
      <alignment horizontal="justify" vertical="center" wrapText="1"/>
    </xf>
    <xf numFmtId="0" fontId="7" fillId="0" borderId="6" xfId="0" applyFont="1" applyBorder="1" applyAlignment="1">
      <alignment horizontal="left" vertical="center" wrapText="1"/>
    </xf>
    <xf numFmtId="43" fontId="18" fillId="0" borderId="6" xfId="17" applyFont="1" applyFill="1" applyBorder="1" applyAlignment="1">
      <alignment horizontal="justify" vertical="center" wrapText="1"/>
    </xf>
    <xf numFmtId="0" fontId="7" fillId="0" borderId="6" xfId="0" applyFont="1" applyBorder="1" applyAlignment="1">
      <alignment vertical="center" wrapText="1"/>
    </xf>
    <xf numFmtId="176" fontId="18" fillId="14" borderId="6" xfId="17" applyNumberFormat="1" applyFont="1" applyFill="1" applyBorder="1" applyAlignment="1">
      <alignment horizontal="justify" vertical="center" wrapText="1"/>
    </xf>
    <xf numFmtId="176" fontId="7" fillId="0" borderId="12" xfId="17" applyNumberFormat="1" applyFont="1" applyBorder="1" applyAlignment="1">
      <alignment horizontal="justify" vertical="center" wrapText="1"/>
    </xf>
    <xf numFmtId="43" fontId="7" fillId="0" borderId="6" xfId="17" applyFont="1" applyBorder="1" applyAlignment="1">
      <alignment horizontal="justify" vertical="center" wrapText="1"/>
    </xf>
    <xf numFmtId="0" fontId="19" fillId="15" borderId="6" xfId="0" applyFont="1" applyFill="1" applyBorder="1" applyAlignment="1">
      <alignment horizontal="center" vertical="center" wrapText="1"/>
    </xf>
    <xf numFmtId="0" fontId="7" fillId="13" borderId="6" xfId="0" applyFont="1" applyFill="1" applyBorder="1" applyAlignment="1">
      <alignment vertical="center" wrapText="1"/>
    </xf>
    <xf numFmtId="0" fontId="18" fillId="0" borderId="6" xfId="0" applyFont="1" applyBorder="1" applyAlignment="1">
      <alignment vertical="center" wrapText="1"/>
    </xf>
    <xf numFmtId="176" fontId="18" fillId="0" borderId="6" xfId="0" applyNumberFormat="1" applyFont="1" applyBorder="1" applyAlignment="1">
      <alignment horizontal="right" vertical="center" wrapText="1"/>
    </xf>
    <xf numFmtId="176" fontId="18" fillId="6" borderId="6" xfId="0" applyNumberFormat="1" applyFont="1" applyFill="1" applyBorder="1" applyAlignment="1">
      <alignment horizontal="right" vertical="center" wrapText="1"/>
    </xf>
    <xf numFmtId="0" fontId="20" fillId="0" borderId="6" xfId="0" applyFont="1" applyBorder="1" applyAlignment="1">
      <alignment vertical="center" wrapText="1"/>
    </xf>
    <xf numFmtId="0" fontId="18" fillId="0" borderId="6" xfId="0" applyFont="1" applyBorder="1" applyAlignment="1">
      <alignment horizontal="right" vertical="center" wrapText="1"/>
    </xf>
    <xf numFmtId="0" fontId="18" fillId="6" borderId="6" xfId="0" applyFont="1" applyFill="1" applyBorder="1" applyAlignment="1">
      <alignment horizontal="right" vertical="center" wrapText="1"/>
    </xf>
    <xf numFmtId="0" fontId="7" fillId="0" borderId="2" xfId="0" applyFont="1" applyBorder="1" applyAlignment="1">
      <alignment horizontal="center" vertical="center" wrapText="1"/>
    </xf>
    <xf numFmtId="0" fontId="7" fillId="13" borderId="2" xfId="0" applyFont="1" applyFill="1" applyBorder="1" applyAlignment="1">
      <alignment horizontal="center" vertical="center" wrapText="1"/>
    </xf>
    <xf numFmtId="0" fontId="7" fillId="13" borderId="2" xfId="0" applyFont="1" applyFill="1" applyBorder="1" applyAlignment="1">
      <alignment vertical="center" wrapText="1"/>
    </xf>
    <xf numFmtId="0" fontId="7" fillId="0" borderId="2" xfId="0" applyFont="1" applyBorder="1" applyAlignment="1">
      <alignment vertical="center" wrapText="1"/>
    </xf>
    <xf numFmtId="0" fontId="18" fillId="0" borderId="2" xfId="0" applyFont="1" applyBorder="1" applyAlignment="1">
      <alignment vertical="center" wrapText="1"/>
    </xf>
    <xf numFmtId="0" fontId="10" fillId="0" borderId="2" xfId="0" applyFont="1" applyBorder="1" applyAlignment="1">
      <alignment horizontal="right" vertical="center" wrapText="1"/>
    </xf>
    <xf numFmtId="0" fontId="18" fillId="6" borderId="2" xfId="0" applyFont="1" applyFill="1" applyBorder="1" applyAlignment="1">
      <alignment horizontal="right" vertical="center" wrapText="1"/>
    </xf>
    <xf numFmtId="0" fontId="18" fillId="0" borderId="2" xfId="0" applyFont="1" applyBorder="1" applyAlignment="1">
      <alignment horizontal="right" vertical="center" wrapText="1"/>
    </xf>
    <xf numFmtId="0" fontId="25" fillId="0" borderId="6" xfId="0" applyFont="1" applyBorder="1" applyAlignment="1">
      <alignment vertical="center" wrapText="1"/>
    </xf>
    <xf numFmtId="176" fontId="26" fillId="0" borderId="6" xfId="0" applyNumberFormat="1" applyFont="1" applyBorder="1" applyAlignment="1">
      <alignment horizontal="right" vertical="center" wrapText="1"/>
    </xf>
    <xf numFmtId="0" fontId="25" fillId="0" borderId="6" xfId="0" applyFont="1" applyBorder="1" applyAlignment="1">
      <alignment horizontal="right" vertical="center" wrapText="1"/>
    </xf>
    <xf numFmtId="41" fontId="18" fillId="0" borderId="6" xfId="17" applyNumberFormat="1" applyFont="1" applyFill="1" applyBorder="1" applyAlignment="1">
      <alignment horizontal="justify" vertical="center" wrapText="1"/>
    </xf>
    <xf numFmtId="41" fontId="7" fillId="0" borderId="6" xfId="17" applyNumberFormat="1" applyFont="1" applyBorder="1" applyAlignment="1">
      <alignment horizontal="justify" vertical="center" wrapText="1"/>
    </xf>
    <xf numFmtId="0" fontId="7" fillId="0" borderId="6" xfId="0" applyFont="1" applyBorder="1" applyAlignment="1">
      <alignment horizontal="right" vertical="center" wrapText="1"/>
    </xf>
    <xf numFmtId="43" fontId="25" fillId="0" borderId="6" xfId="17" applyFont="1" applyBorder="1" applyAlignment="1">
      <alignment horizontal="justify" vertical="center" wrapText="1"/>
    </xf>
    <xf numFmtId="0" fontId="17" fillId="0" borderId="0" xfId="0" applyFont="1" applyAlignment="1">
      <alignment horizontal="center" vertical="center" wrapText="1"/>
    </xf>
    <xf numFmtId="0" fontId="18" fillId="0" borderId="3" xfId="0" applyFont="1" applyBorder="1" applyAlignment="1">
      <alignment horizontal="justify" vertical="center" wrapText="1"/>
    </xf>
    <xf numFmtId="0" fontId="18" fillId="0" borderId="13" xfId="0" applyFont="1" applyBorder="1" applyAlignment="1">
      <alignment horizontal="justify" vertical="center" wrapText="1"/>
    </xf>
    <xf numFmtId="0" fontId="18" fillId="0" borderId="14" xfId="0" applyFont="1" applyBorder="1" applyAlignment="1">
      <alignment horizontal="justify" vertical="center" wrapText="1"/>
    </xf>
    <xf numFmtId="0" fontId="18" fillId="0" borderId="11" xfId="0" applyFont="1" applyBorder="1" applyAlignment="1">
      <alignment horizontal="justify" vertical="center" wrapText="1"/>
    </xf>
    <xf numFmtId="0" fontId="18" fillId="0" borderId="0" xfId="0" applyFont="1" applyAlignment="1">
      <alignment horizontal="justify" vertical="center" wrapText="1"/>
    </xf>
    <xf numFmtId="0" fontId="18" fillId="0" borderId="15" xfId="0" applyFont="1" applyBorder="1" applyAlignment="1">
      <alignment horizontal="justify" vertical="center" wrapText="1"/>
    </xf>
    <xf numFmtId="0" fontId="18" fillId="0" borderId="5" xfId="0" applyFont="1" applyBorder="1" applyAlignment="1">
      <alignment horizontal="justify" vertical="center" wrapText="1"/>
    </xf>
    <xf numFmtId="0" fontId="18" fillId="0" borderId="8" xfId="0" applyFont="1" applyBorder="1" applyAlignment="1">
      <alignment horizontal="justify" vertical="center" wrapText="1"/>
    </xf>
    <xf numFmtId="0" fontId="18" fillId="0" borderId="12" xfId="0" applyFont="1" applyBorder="1" applyAlignment="1">
      <alignment horizontal="justify" vertical="center" wrapText="1"/>
    </xf>
    <xf numFmtId="0" fontId="17" fillId="0" borderId="8" xfId="0" applyFont="1" applyBorder="1" applyAlignment="1">
      <alignment horizontal="center" vertical="center" wrapText="1"/>
    </xf>
    <xf numFmtId="0" fontId="6" fillId="2" borderId="7" xfId="0" applyFont="1" applyFill="1" applyBorder="1" applyAlignment="1">
      <alignment horizontal="center" vertical="center" wrapText="1"/>
    </xf>
    <xf numFmtId="0" fontId="6" fillId="2" borderId="9" xfId="0" applyFont="1" applyFill="1" applyBorder="1" applyAlignment="1">
      <alignment horizontal="center" vertical="center" wrapText="1"/>
    </xf>
    <xf numFmtId="0" fontId="6" fillId="2" borderId="10" xfId="0" applyFont="1" applyFill="1" applyBorder="1" applyAlignment="1">
      <alignment horizontal="center" vertical="center" wrapText="1"/>
    </xf>
    <xf numFmtId="0" fontId="6" fillId="2" borderId="2" xfId="0" applyFont="1" applyFill="1" applyBorder="1" applyAlignment="1">
      <alignment horizontal="center" vertical="center" wrapText="1"/>
    </xf>
    <xf numFmtId="0" fontId="6" fillId="2" borderId="4" xfId="0" applyFont="1" applyFill="1" applyBorder="1" applyAlignment="1">
      <alignment horizontal="center" vertical="center" wrapText="1"/>
    </xf>
    <xf numFmtId="43" fontId="5" fillId="2" borderId="2" xfId="6" applyNumberFormat="1" applyFont="1" applyFill="1" applyBorder="1" applyAlignment="1">
      <alignment horizontal="center" vertical="center" wrapText="1"/>
    </xf>
    <xf numFmtId="43" fontId="5" fillId="2" borderId="4" xfId="6" applyNumberFormat="1" applyFont="1" applyFill="1" applyBorder="1" applyAlignment="1">
      <alignment horizontal="center" vertical="center" wrapText="1"/>
    </xf>
    <xf numFmtId="0" fontId="9" fillId="0" borderId="8" xfId="6" applyFont="1" applyBorder="1" applyAlignment="1">
      <alignment horizontal="center" vertical="center"/>
    </xf>
    <xf numFmtId="43" fontId="9" fillId="0" borderId="8" xfId="6" applyNumberFormat="1" applyFont="1" applyBorder="1" applyAlignment="1">
      <alignment horizontal="center" vertical="center"/>
    </xf>
    <xf numFmtId="43" fontId="9" fillId="0" borderId="8" xfId="6" applyNumberFormat="1" applyFont="1" applyBorder="1" applyAlignment="1">
      <alignment horizontal="left" vertical="center"/>
    </xf>
    <xf numFmtId="43" fontId="5" fillId="2" borderId="7" xfId="6" applyNumberFormat="1" applyFont="1" applyFill="1" applyBorder="1" applyAlignment="1">
      <alignment horizontal="center" vertical="center" wrapText="1"/>
    </xf>
    <xf numFmtId="43" fontId="5" fillId="2" borderId="9" xfId="6" applyNumberFormat="1" applyFont="1" applyFill="1" applyBorder="1" applyAlignment="1">
      <alignment horizontal="center" vertical="center" wrapText="1"/>
    </xf>
    <xf numFmtId="43" fontId="5" fillId="2" borderId="10" xfId="6" applyNumberFormat="1" applyFont="1" applyFill="1" applyBorder="1" applyAlignment="1">
      <alignment horizontal="center" vertical="center" wrapText="1"/>
    </xf>
    <xf numFmtId="0" fontId="5" fillId="2" borderId="2" xfId="6" applyFont="1" applyFill="1" applyBorder="1" applyAlignment="1">
      <alignment horizontal="center" vertical="center" wrapText="1"/>
    </xf>
    <xf numFmtId="0" fontId="5" fillId="2" borderId="4" xfId="6" applyFont="1" applyFill="1" applyBorder="1" applyAlignment="1">
      <alignment horizontal="center" vertical="center" wrapText="1"/>
    </xf>
    <xf numFmtId="0" fontId="5" fillId="2" borderId="7" xfId="6" applyFont="1" applyFill="1" applyBorder="1" applyAlignment="1">
      <alignment horizontal="center" vertical="center" wrapText="1"/>
    </xf>
    <xf numFmtId="0" fontId="5" fillId="2" borderId="9" xfId="6" applyFont="1" applyFill="1" applyBorder="1" applyAlignment="1">
      <alignment horizontal="center" vertical="center" wrapText="1"/>
    </xf>
    <xf numFmtId="0" fontId="5" fillId="2" borderId="10" xfId="6" applyFont="1" applyFill="1" applyBorder="1" applyAlignment="1">
      <alignment horizontal="center" vertical="center" wrapText="1"/>
    </xf>
    <xf numFmtId="43" fontId="0" fillId="0" borderId="1" xfId="0" applyNumberFormat="1" applyBorder="1" applyAlignment="1">
      <alignment horizontal="center"/>
    </xf>
    <xf numFmtId="43" fontId="5" fillId="2" borderId="3" xfId="6" applyNumberFormat="1" applyFont="1" applyFill="1" applyBorder="1" applyAlignment="1">
      <alignment horizontal="center" vertical="center" wrapText="1"/>
    </xf>
    <xf numFmtId="43" fontId="5" fillId="2" borderId="5" xfId="6" applyNumberFormat="1" applyFont="1" applyFill="1" applyBorder="1" applyAlignment="1">
      <alignment horizontal="center" vertical="center" wrapText="1"/>
    </xf>
    <xf numFmtId="43" fontId="1" fillId="0" borderId="1" xfId="0" applyNumberFormat="1" applyFont="1" applyBorder="1" applyAlignment="1">
      <alignment horizontal="center"/>
    </xf>
    <xf numFmtId="0" fontId="25" fillId="13" borderId="6" xfId="0" applyFont="1" applyFill="1" applyBorder="1" applyAlignment="1">
      <alignment horizontal="left" vertical="center" wrapText="1"/>
    </xf>
  </cellXfs>
  <cellStyles count="22">
    <cellStyle name="百分比" xfId="1" builtinId="5"/>
    <cellStyle name="百分比 2" xfId="2" xr:uid="{00000000-0005-0000-0000-000031000000}"/>
    <cellStyle name="常规" xfId="0" builtinId="0"/>
    <cellStyle name="常规 2" xfId="3" xr:uid="{00000000-0005-0000-0000-000032000000}"/>
    <cellStyle name="常规 2 2" xfId="4" xr:uid="{00000000-0005-0000-0000-000033000000}"/>
    <cellStyle name="常规 3" xfId="5" xr:uid="{00000000-0005-0000-0000-000034000000}"/>
    <cellStyle name="常规 3 2" xfId="6" xr:uid="{00000000-0005-0000-0000-000035000000}"/>
    <cellStyle name="常规 4" xfId="7" xr:uid="{00000000-0005-0000-0000-000036000000}"/>
    <cellStyle name="常规 4 2" xfId="8" xr:uid="{00000000-0005-0000-0000-000037000000}"/>
    <cellStyle name="常规 4 2 2" xfId="9" xr:uid="{00000000-0005-0000-0000-000038000000}"/>
    <cellStyle name="常规 4 3" xfId="10" xr:uid="{00000000-0005-0000-0000-000039000000}"/>
    <cellStyle name="常规 4 4" xfId="11" xr:uid="{00000000-0005-0000-0000-00003A000000}"/>
    <cellStyle name="常规 4 4 2" xfId="12" xr:uid="{00000000-0005-0000-0000-00003B000000}"/>
    <cellStyle name="常规 4 4 3" xfId="13" xr:uid="{00000000-0005-0000-0000-00003C000000}"/>
    <cellStyle name="常规 5" xfId="14" xr:uid="{00000000-0005-0000-0000-00003D000000}"/>
    <cellStyle name="千位分隔 2" xfId="15" xr:uid="{00000000-0005-0000-0000-00003E000000}"/>
    <cellStyle name="千位分隔 2 2" xfId="16" xr:uid="{00000000-0005-0000-0000-00003F000000}"/>
    <cellStyle name="千位分隔 3" xfId="17" xr:uid="{00000000-0005-0000-0000-000040000000}"/>
    <cellStyle name="千位分隔 3 2" xfId="18" xr:uid="{00000000-0005-0000-0000-000041000000}"/>
    <cellStyle name="千位分隔 4" xfId="19" xr:uid="{00000000-0005-0000-0000-000042000000}"/>
    <cellStyle name="千位分隔 5" xfId="20" xr:uid="{00000000-0005-0000-0000-000043000000}"/>
    <cellStyle name="千位分隔 5 2" xfId="21" xr:uid="{00000000-0005-0000-0000-000044000000}"/>
  </cellStyles>
  <dxfs count="0"/>
  <tableStyles count="0" defaultTableStyle="TableStyleMedium2" defaultPivotStyle="PivotStyleLight16"/>
  <colors>
    <mruColors>
      <color rgb="FF5B9BD5"/>
      <color rgb="FFFCE4D6"/>
      <color rgb="FFBDD7EE"/>
      <color rgb="FFFFFF00"/>
      <color rgb="FF000000"/>
      <color rgb="FFD0CECE"/>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2&#12289;&#21271;&#20140;&#28023;&#21019;&#20803;&#20154;&#24037;&#26234;&#33021;&#25945;&#32946;&#31185;&#25216;&#26377;&#38480;&#20844;&#21496;\1&#12289;&#36130;&#21153;&#31649;&#29702;-&#28023;&#21019;&#20803;\2&#12289;&#36130;&#21153;&#39044;&#31639;&amp;&#20998;&#26512;-&#28023;&#21019;&#20803;\1&#12289;&#24180;&#24230;&#36130;&#21153;&#39044;&#31639;-&#28023;&#21019;&#20803;\2026&#24180;&#24230;&#39044;&#31639;-&#28023;&#21019;&#20803;&#20844;&#21496;\&#22269;&#25237;&#31649;&#29702;&#20225;&#19994;&#31616;&#34920;%20-%20&#28023;&#21019;&#20803;20260203.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2&#12289;&#21271;&#20140;&#28023;&#21019;&#20803;&#20154;&#24037;&#26234;&#33021;&#25945;&#32946;&#31185;&#25216;&#26377;&#38480;&#20844;&#21496;/1&#12289;&#36130;&#21153;&#31649;&#29702;-&#28023;&#21019;&#20803;/2&#12289;&#36130;&#21153;&#39044;&#31639;&amp;&#20998;&#26512;-&#28023;&#21019;&#20803;/1&#12289;&#24180;&#24230;&#36130;&#21153;&#39044;&#31639;-&#28023;&#21019;&#20803;/2026&#24180;&#24230;&#39044;&#31639;-&#28023;&#21019;&#20803;&#20844;&#21496;/1.2026&#24180;&#32463;&#33829;&#39044;&#31639;&#65288;&#36807;&#31243;&#24615;&#25968;&#25454;&#65289;-&#28023;&#21019;&#20803;/2026&#24180;&#24230;&#32463;&#33829;&#35745;&#21010;&#38468;&#20214;-&#28023;&#21019;&#20803;20260415.xlsx" TargetMode="External"/><Relationship Id="rId1" Type="http://schemas.openxmlformats.org/officeDocument/2006/relationships/externalLinkPath" Target="/2&#12289;&#21271;&#20140;&#28023;&#21019;&#20803;&#20154;&#24037;&#26234;&#33021;&#25945;&#32946;&#31185;&#25216;&#26377;&#38480;&#20844;&#21496;/1&#12289;&#36130;&#21153;&#31649;&#29702;-&#28023;&#21019;&#20803;/2&#12289;&#36130;&#21153;&#39044;&#31639;&amp;&#20998;&#26512;-&#28023;&#21019;&#20803;/1&#12289;&#24180;&#24230;&#36130;&#21153;&#39044;&#31639;-&#28023;&#21019;&#20803;/2026&#24180;&#24230;&#39044;&#31639;-&#28023;&#21019;&#20803;&#20844;&#21496;/1.2026&#24180;&#32463;&#33829;&#39044;&#31639;&#65288;&#36807;&#31243;&#24615;&#25968;&#25454;&#65289;-&#28023;&#21019;&#20803;/2026&#24180;&#24230;&#32463;&#33829;&#35745;&#21010;&#38468;&#20214;-&#28023;&#21019;&#20803;20260415.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2&#12289;&#21271;&#20140;&#28023;&#21019;&#20803;&#20154;&#24037;&#26234;&#33021;&#25945;&#32946;&#31185;&#25216;&#26377;&#38480;&#20844;&#21496;\1&#12289;&#36130;&#21153;&#31649;&#29702;-&#28023;&#21019;&#20803;\2&#12289;&#36130;&#21153;&#39044;&#31639;&amp;&#20998;&#26512;-&#28023;&#21019;&#20803;\1&#12289;&#24180;&#24230;&#36130;&#21153;&#39044;&#31639;-&#28023;&#21019;&#20803;\2026&#24180;&#24230;&#39044;&#31639;-&#28023;&#21019;&#20803;&#20844;&#21496;\2026&#24180;&#37096;&#38376;&#36153;&#29992;&#39044;&#31639;&#32534;&#21046;-&#28023;&#21019;&#20803;2025120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预算分板块对比分析-国投其他"/>
      <sheetName val="Sheet1"/>
      <sheetName val="Sheet2"/>
    </sheetNames>
    <sheetDataSet>
      <sheetData sheetId="0">
        <row r="31">
          <cell r="D31">
            <v>57.47</v>
          </cell>
        </row>
        <row r="39">
          <cell r="D39">
            <v>0.1</v>
          </cell>
        </row>
        <row r="40">
          <cell r="D40">
            <v>346.67</v>
          </cell>
        </row>
        <row r="59">
          <cell r="D59">
            <v>101</v>
          </cell>
        </row>
      </sheetData>
      <sheetData sheetId="1"/>
      <sheetData sheetId="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经营目标"/>
      <sheetName val="附件1 指标分解"/>
      <sheetName val="附件2 经营性净现金流利润编制明细"/>
      <sheetName val="附件3 经营性资金计划"/>
      <sheetName val="Sheet1"/>
      <sheetName val="夯实版预算"/>
      <sheetName val="利润版预算"/>
      <sheetName val="专题会ppt"/>
      <sheetName val="预算ppt "/>
      <sheetName val="房租计提表-2026"/>
      <sheetName val="分析思路"/>
      <sheetName val="人工测算"/>
    </sheetNames>
    <sheetDataSet>
      <sheetData sheetId="0" refreshError="1"/>
      <sheetData sheetId="1" refreshError="1"/>
      <sheetData sheetId="2" refreshError="1">
        <row r="7">
          <cell r="F7">
            <v>18.0460263007433</v>
          </cell>
          <cell r="G7">
            <v>18.0460263007433</v>
          </cell>
          <cell r="H7">
            <v>270.69039451114901</v>
          </cell>
        </row>
        <row r="17">
          <cell r="F17">
            <v>10.105774728416201</v>
          </cell>
          <cell r="G17">
            <v>10.105774728416201</v>
          </cell>
          <cell r="H17">
            <v>151.586620926244</v>
          </cell>
        </row>
        <row r="26">
          <cell r="F26">
            <v>10.905984</v>
          </cell>
          <cell r="G26">
            <v>10.924317333333301</v>
          </cell>
          <cell r="H26">
            <v>15.337650666666701</v>
          </cell>
          <cell r="I26">
            <v>101.18931733333299</v>
          </cell>
          <cell r="J26">
            <v>10.9393173333333</v>
          </cell>
          <cell r="K26">
            <v>11.0193173333333</v>
          </cell>
          <cell r="L26">
            <v>21.286905333333301</v>
          </cell>
          <cell r="M26">
            <v>11.2769053333333</v>
          </cell>
          <cell r="N26">
            <v>11.627005333333299</v>
          </cell>
          <cell r="O26">
            <v>21.307005333333301</v>
          </cell>
          <cell r="P26">
            <v>11.8170053333333</v>
          </cell>
          <cell r="Q26">
            <v>121.88700533333299</v>
          </cell>
        </row>
        <row r="29">
          <cell r="F29">
            <v>49.077441524999998</v>
          </cell>
          <cell r="G29">
            <v>43.581156833333303</v>
          </cell>
          <cell r="H29">
            <v>45.862485256666702</v>
          </cell>
          <cell r="I29">
            <v>49.392586893333302</v>
          </cell>
          <cell r="J29">
            <v>54.365585256666698</v>
          </cell>
          <cell r="K29">
            <v>52.365320226666697</v>
          </cell>
          <cell r="L29">
            <v>78.807156923333295</v>
          </cell>
          <cell r="M29">
            <v>53.940556923333297</v>
          </cell>
          <cell r="N29">
            <v>55.550491893333302</v>
          </cell>
          <cell r="O29">
            <v>55.840356923333303</v>
          </cell>
          <cell r="P29">
            <v>56.587091893333302</v>
          </cell>
          <cell r="Q29">
            <v>53.662110923333302</v>
          </cell>
        </row>
        <row r="32">
          <cell r="F32">
            <v>18.65877566</v>
          </cell>
          <cell r="G32">
            <v>18.831475659999999</v>
          </cell>
          <cell r="H32">
            <v>18.762075660000001</v>
          </cell>
          <cell r="I32">
            <v>18.946575660000001</v>
          </cell>
          <cell r="J32">
            <v>18.44677566</v>
          </cell>
          <cell r="K32">
            <v>18.47737566</v>
          </cell>
          <cell r="L32">
            <v>35.263079660000002</v>
          </cell>
          <cell r="M32">
            <v>18.563129660000001</v>
          </cell>
          <cell r="N32">
            <v>19.275129660000001</v>
          </cell>
          <cell r="O32">
            <v>18.642729660000001</v>
          </cell>
          <cell r="P32">
            <v>19.703529660000001</v>
          </cell>
          <cell r="Q32">
            <v>18.573329659999999</v>
          </cell>
        </row>
        <row r="35">
          <cell r="F35">
            <v>1.1165</v>
          </cell>
          <cell r="G35">
            <v>1.29</v>
          </cell>
          <cell r="H35">
            <v>1.495425</v>
          </cell>
          <cell r="I35">
            <v>2.1523694444444401</v>
          </cell>
          <cell r="J35">
            <v>2.5476819444444398</v>
          </cell>
          <cell r="K35">
            <v>2.5997355158730202</v>
          </cell>
          <cell r="L35">
            <v>2.5997355158730202</v>
          </cell>
          <cell r="M35">
            <v>2.5997355158730202</v>
          </cell>
          <cell r="N35">
            <v>2.5997355158730202</v>
          </cell>
          <cell r="O35">
            <v>2.5997355158730202</v>
          </cell>
          <cell r="P35">
            <v>2.5997355158730202</v>
          </cell>
          <cell r="Q35">
            <v>2.5997355158730202</v>
          </cell>
        </row>
      </sheetData>
      <sheetData sheetId="3" refreshError="1"/>
      <sheetData sheetId="4" refreshError="1"/>
      <sheetData sheetId="5" refreshError="1"/>
      <sheetData sheetId="6" refreshError="1">
        <row r="4">
          <cell r="J4">
            <v>22</v>
          </cell>
          <cell r="K4">
            <v>22</v>
          </cell>
          <cell r="L4">
            <v>22</v>
          </cell>
          <cell r="M4">
            <v>5</v>
          </cell>
          <cell r="N4">
            <v>5</v>
          </cell>
          <cell r="O4">
            <v>6</v>
          </cell>
          <cell r="P4">
            <v>13</v>
          </cell>
          <cell r="Q4">
            <v>13</v>
          </cell>
          <cell r="R4">
            <v>13</v>
          </cell>
        </row>
        <row r="5">
          <cell r="G5">
            <v>181.13207547169799</v>
          </cell>
          <cell r="H5">
            <v>441.50943396226398</v>
          </cell>
        </row>
        <row r="6">
          <cell r="G6">
            <v>33.018867924528301</v>
          </cell>
          <cell r="H6">
            <v>56.603773584905703</v>
          </cell>
        </row>
        <row r="7">
          <cell r="G7">
            <v>66.037735849056602</v>
          </cell>
          <cell r="H7">
            <v>99.056603773584897</v>
          </cell>
        </row>
        <row r="8">
          <cell r="G8">
            <v>18.867924528301899</v>
          </cell>
        </row>
        <row r="9">
          <cell r="G9">
            <v>47.169811320754697</v>
          </cell>
          <cell r="H9">
            <v>84.905660377358501</v>
          </cell>
        </row>
        <row r="12">
          <cell r="F12">
            <v>197.590136372128</v>
          </cell>
          <cell r="G12">
            <v>332.18867924528303</v>
          </cell>
          <cell r="H12">
            <v>94.339622641509393</v>
          </cell>
        </row>
        <row r="15">
          <cell r="F15">
            <v>418.41509433962301</v>
          </cell>
          <cell r="G15">
            <v>101.43396226415101</v>
          </cell>
          <cell r="H15">
            <v>247.24528301886801</v>
          </cell>
        </row>
        <row r="16">
          <cell r="F16">
            <v>7.2759900990099</v>
          </cell>
          <cell r="G16">
            <v>16.5094339622642</v>
          </cell>
          <cell r="H16">
            <v>28.301886792452802</v>
          </cell>
        </row>
        <row r="17">
          <cell r="F17">
            <v>18.069306930693099</v>
          </cell>
          <cell r="G17">
            <v>33.018867924528301</v>
          </cell>
          <cell r="H17">
            <v>49.528301886792399</v>
          </cell>
        </row>
        <row r="18">
          <cell r="F18">
            <v>40.094339622641499</v>
          </cell>
          <cell r="G18">
            <v>16.037735849056599</v>
          </cell>
          <cell r="H18">
            <v>0</v>
          </cell>
        </row>
        <row r="19">
          <cell r="F19">
            <v>3.9603960396039599</v>
          </cell>
          <cell r="G19">
            <v>9.4339622641509404</v>
          </cell>
          <cell r="H19">
            <v>16.981132075471699</v>
          </cell>
        </row>
        <row r="22">
          <cell r="F22">
            <v>138.313095460489</v>
          </cell>
          <cell r="G22">
            <v>240.13207547169799</v>
          </cell>
          <cell r="H22">
            <v>66.037735849056602</v>
          </cell>
        </row>
      </sheetData>
      <sheetData sheetId="7" refreshError="1"/>
      <sheetData sheetId="8" refreshError="1"/>
      <sheetData sheetId="9" refreshError="1"/>
      <sheetData sheetId="10" refreshError="1"/>
      <sheetData sheetId="1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部门月度费用汇总"/>
      <sheetName val="汇总-费用初定版"/>
      <sheetName val="汇总-旧版"/>
      <sheetName val="综合部"/>
      <sheetName val="销售部"/>
      <sheetName val="总办会"/>
      <sheetName val="经营部"/>
      <sheetName val="研发交付部"/>
    </sheetNames>
    <sheetDataSet>
      <sheetData sheetId="0" refreshError="1">
        <row r="30">
          <cell r="C30">
            <v>10.905984</v>
          </cell>
          <cell r="D30">
            <v>10.924317333333301</v>
          </cell>
          <cell r="E30">
            <v>15.337650666666701</v>
          </cell>
          <cell r="F30">
            <v>101.18931733333299</v>
          </cell>
          <cell r="G30">
            <v>10.9393173333333</v>
          </cell>
          <cell r="H30">
            <v>11.0193173333333</v>
          </cell>
          <cell r="I30">
            <v>21.286905333333301</v>
          </cell>
          <cell r="J30">
            <v>11.2769053333333</v>
          </cell>
          <cell r="K30">
            <v>11.627005333333299</v>
          </cell>
          <cell r="L30">
            <v>21.307005333333301</v>
          </cell>
          <cell r="M30">
            <v>11.8170053333333</v>
          </cell>
          <cell r="N30">
            <v>121.88700533333299</v>
          </cell>
        </row>
        <row r="31">
          <cell r="C31">
            <v>49.077441524999998</v>
          </cell>
          <cell r="D31">
            <v>43.581156833333303</v>
          </cell>
          <cell r="E31">
            <v>45.862485256666702</v>
          </cell>
          <cell r="F31">
            <v>49.392586893333302</v>
          </cell>
          <cell r="G31">
            <v>45.4255852566667</v>
          </cell>
          <cell r="H31">
            <v>43.515320226666702</v>
          </cell>
          <cell r="I31">
            <v>69.867156923333297</v>
          </cell>
          <cell r="J31">
            <v>45.000556923333299</v>
          </cell>
          <cell r="K31">
            <v>46.010491893333302</v>
          </cell>
          <cell r="L31">
            <v>46.920356923333301</v>
          </cell>
          <cell r="M31">
            <v>46.677091893333298</v>
          </cell>
          <cell r="N31">
            <v>44.722110923333297</v>
          </cell>
        </row>
        <row r="32">
          <cell r="C32">
            <v>18.65877566</v>
          </cell>
          <cell r="D32">
            <v>18.831475659999999</v>
          </cell>
          <cell r="E32">
            <v>18.762075660000001</v>
          </cell>
          <cell r="F32">
            <v>18.946575660000001</v>
          </cell>
          <cell r="G32">
            <v>18.44677566</v>
          </cell>
          <cell r="H32">
            <v>18.47737566</v>
          </cell>
          <cell r="I32">
            <v>35.263079660000002</v>
          </cell>
          <cell r="J32">
            <v>18.563129660000001</v>
          </cell>
          <cell r="K32">
            <v>19.275129660000001</v>
          </cell>
          <cell r="L32">
            <v>18.642729660000001</v>
          </cell>
          <cell r="M32">
            <v>19.703529660000001</v>
          </cell>
          <cell r="N32">
            <v>18.573329659999999</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B2:O27"/>
  <sheetViews>
    <sheetView showGridLines="0" tabSelected="1" zoomScale="115" zoomScaleNormal="115" workbookViewId="0">
      <selection activeCell="F14" sqref="F14"/>
    </sheetView>
  </sheetViews>
  <sheetFormatPr defaultColWidth="9" defaultRowHeight="14" x14ac:dyDescent="0.3"/>
  <cols>
    <col min="1" max="1" width="4" customWidth="1"/>
    <col min="2" max="2" width="6.08203125" customWidth="1"/>
    <col min="3" max="3" width="32.9140625" customWidth="1"/>
    <col min="4" max="5" width="10.58203125" customWidth="1"/>
    <col min="6" max="6" width="23.08203125" customWidth="1"/>
    <col min="7" max="7" width="12" hidden="1" customWidth="1"/>
    <col min="8" max="8" width="18" hidden="1" customWidth="1"/>
    <col min="9" max="9" width="7.33203125" customWidth="1"/>
    <col min="10" max="11" width="9.58203125" hidden="1" customWidth="1"/>
    <col min="12" max="12" width="9.58203125" customWidth="1"/>
    <col min="13" max="13" width="14.4140625" customWidth="1"/>
    <col min="14" max="14" width="13.4140625" customWidth="1"/>
    <col min="15" max="15" width="40.33203125" customWidth="1"/>
  </cols>
  <sheetData>
    <row r="2" spans="2:15" ht="21" customHeight="1" x14ac:dyDescent="0.3">
      <c r="B2" s="131" t="s">
        <v>0</v>
      </c>
      <c r="C2" s="131"/>
      <c r="D2" s="131"/>
      <c r="E2" s="131"/>
      <c r="F2" s="131"/>
      <c r="G2" s="131"/>
      <c r="H2" s="131"/>
      <c r="I2" s="131"/>
      <c r="J2" s="131"/>
      <c r="K2" s="131"/>
      <c r="L2" s="131"/>
      <c r="M2" s="131"/>
      <c r="N2" s="131"/>
      <c r="O2" s="131"/>
    </row>
    <row r="3" spans="2:15" ht="26" x14ac:dyDescent="0.3">
      <c r="B3" s="108" t="s">
        <v>1</v>
      </c>
      <c r="C3" s="108" t="s">
        <v>2</v>
      </c>
      <c r="D3" s="108" t="s">
        <v>3</v>
      </c>
      <c r="E3" s="108" t="s">
        <v>4</v>
      </c>
      <c r="F3" s="108" t="s">
        <v>5</v>
      </c>
      <c r="G3" s="108" t="s">
        <v>6</v>
      </c>
      <c r="H3" s="108" t="s">
        <v>7</v>
      </c>
      <c r="I3" s="108" t="s">
        <v>8</v>
      </c>
      <c r="J3" s="108" t="s">
        <v>9</v>
      </c>
      <c r="K3" s="108" t="s">
        <v>10</v>
      </c>
      <c r="L3" s="108" t="s">
        <v>11</v>
      </c>
      <c r="M3" s="108" t="s">
        <v>12</v>
      </c>
      <c r="N3" s="108" t="s">
        <v>13</v>
      </c>
      <c r="O3" s="108" t="s">
        <v>14</v>
      </c>
    </row>
    <row r="4" spans="2:15" ht="26" x14ac:dyDescent="0.3">
      <c r="B4" s="96">
        <v>1</v>
      </c>
      <c r="C4" s="96" t="s">
        <v>15</v>
      </c>
      <c r="D4" s="97" t="s">
        <v>16</v>
      </c>
      <c r="E4" s="97" t="s">
        <v>17</v>
      </c>
      <c r="F4" s="109" t="s">
        <v>18</v>
      </c>
      <c r="G4" s="104" t="s">
        <v>19</v>
      </c>
      <c r="H4" s="96"/>
      <c r="I4" s="104" t="s">
        <v>20</v>
      </c>
      <c r="J4" s="110"/>
      <c r="K4" s="110"/>
      <c r="L4" s="111">
        <v>61</v>
      </c>
      <c r="M4" s="112">
        <f>'附件2 经营性净现金流利润编制明细2026415'!E5</f>
        <v>2884.03496906294</v>
      </c>
      <c r="N4" s="111">
        <f t="shared" ref="N4:N15" si="0">M4-L4</f>
        <v>2823.03496906294</v>
      </c>
      <c r="O4" s="113" t="s">
        <v>21</v>
      </c>
    </row>
    <row r="5" spans="2:15" x14ac:dyDescent="0.3">
      <c r="B5" s="96">
        <v>2</v>
      </c>
      <c r="C5" s="96" t="s">
        <v>15</v>
      </c>
      <c r="D5" s="97" t="s">
        <v>16</v>
      </c>
      <c r="E5" s="97" t="s">
        <v>17</v>
      </c>
      <c r="F5" s="109" t="s">
        <v>22</v>
      </c>
      <c r="G5" s="104" t="s">
        <v>19</v>
      </c>
      <c r="H5" s="96"/>
      <c r="I5" s="104" t="s">
        <v>20</v>
      </c>
      <c r="J5" s="110"/>
      <c r="K5" s="110"/>
      <c r="L5" s="111">
        <v>-343</v>
      </c>
      <c r="M5" s="112">
        <f>'附件2 经营性净现金流利润编制明细2026415'!E38</f>
        <v>1.03981174955288</v>
      </c>
      <c r="N5" s="111">
        <f t="shared" si="0"/>
        <v>344.03981174955288</v>
      </c>
      <c r="O5" s="110"/>
    </row>
    <row r="6" spans="2:15" x14ac:dyDescent="0.3">
      <c r="B6" s="96">
        <v>3</v>
      </c>
      <c r="C6" s="96" t="s">
        <v>15</v>
      </c>
      <c r="D6" s="97" t="s">
        <v>16</v>
      </c>
      <c r="E6" s="97" t="s">
        <v>17</v>
      </c>
      <c r="F6" s="109" t="s">
        <v>23</v>
      </c>
      <c r="G6" s="104" t="s">
        <v>19</v>
      </c>
      <c r="H6" s="96"/>
      <c r="I6" s="104" t="s">
        <v>20</v>
      </c>
      <c r="J6" s="110"/>
      <c r="K6" s="110"/>
      <c r="L6" s="111">
        <v>345</v>
      </c>
      <c r="M6" s="112">
        <f>'附件2 经营性净现金流利润编制明细2026415'!E24+'附件2 经营性净现金流利润编制明细2026415'!E27+'附件2 经营性净现金流利润编制明细2026415'!E30</f>
        <v>1163.7140593916661</v>
      </c>
      <c r="N6" s="111">
        <f t="shared" si="0"/>
        <v>818.71405939166607</v>
      </c>
      <c r="O6" s="110"/>
    </row>
    <row r="7" spans="2:15" x14ac:dyDescent="0.3">
      <c r="B7" s="96">
        <v>4</v>
      </c>
      <c r="C7" s="96" t="s">
        <v>15</v>
      </c>
      <c r="D7" s="96" t="s">
        <v>16</v>
      </c>
      <c r="E7" s="96" t="s">
        <v>24</v>
      </c>
      <c r="F7" s="104" t="s">
        <v>25</v>
      </c>
      <c r="G7" s="104" t="s">
        <v>19</v>
      </c>
      <c r="H7" s="96"/>
      <c r="I7" s="104" t="s">
        <v>20</v>
      </c>
      <c r="J7" s="110"/>
      <c r="K7" s="110"/>
      <c r="L7" s="111">
        <f>'[1]预算分板块对比分析-国投其他'!$D$31+'[1]预算分板块对比分析-国投其他'!$D$39+'[1]预算分板块对比分析-国投其他'!$D$40</f>
        <v>404.24</v>
      </c>
      <c r="M7" s="111">
        <f>'附件2 经营性净现金流利润编制明细2026415'!E14</f>
        <v>2882.9951573133899</v>
      </c>
      <c r="N7" s="111">
        <f t="shared" si="0"/>
        <v>2478.7551573133896</v>
      </c>
      <c r="O7" s="110"/>
    </row>
    <row r="8" spans="2:15" x14ac:dyDescent="0.3">
      <c r="B8" s="96">
        <v>5</v>
      </c>
      <c r="C8" s="96" t="s">
        <v>15</v>
      </c>
      <c r="D8" s="96" t="s">
        <v>16</v>
      </c>
      <c r="E8" s="96" t="s">
        <v>24</v>
      </c>
      <c r="F8" s="104" t="s">
        <v>26</v>
      </c>
      <c r="G8" s="104" t="s">
        <v>19</v>
      </c>
      <c r="H8" s="96"/>
      <c r="I8" s="104" t="s">
        <v>20</v>
      </c>
      <c r="J8" s="110"/>
      <c r="K8" s="110"/>
      <c r="L8" s="111">
        <v>-277</v>
      </c>
      <c r="M8" s="111">
        <f>'附件3 经营性资金计划 2026415'!E22</f>
        <v>14.1713936436072</v>
      </c>
      <c r="N8" s="111">
        <f t="shared" si="0"/>
        <v>291.17139364360719</v>
      </c>
      <c r="O8" s="110"/>
    </row>
    <row r="9" spans="2:15" x14ac:dyDescent="0.3">
      <c r="B9" s="96">
        <v>6</v>
      </c>
      <c r="C9" s="96" t="s">
        <v>15</v>
      </c>
      <c r="D9" s="96" t="s">
        <v>16</v>
      </c>
      <c r="E9" s="96" t="s">
        <v>24</v>
      </c>
      <c r="F9" s="104" t="s">
        <v>27</v>
      </c>
      <c r="G9" s="104" t="s">
        <v>19</v>
      </c>
      <c r="H9" s="96"/>
      <c r="I9" s="104" t="s">
        <v>20</v>
      </c>
      <c r="J9" s="110"/>
      <c r="K9" s="110"/>
      <c r="L9" s="111">
        <f>'[1]预算分板块对比分析-国投其他'!$D$59</f>
        <v>101</v>
      </c>
      <c r="M9" s="111">
        <f>'附件3 经营性资金计划 2026415'!E6</f>
        <v>3001.4013020011398</v>
      </c>
      <c r="N9" s="111">
        <f t="shared" si="0"/>
        <v>2900.4013020011398</v>
      </c>
      <c r="O9" s="110"/>
    </row>
    <row r="10" spans="2:15" ht="26" x14ac:dyDescent="0.3">
      <c r="B10" s="96">
        <v>7</v>
      </c>
      <c r="C10" s="96" t="s">
        <v>15</v>
      </c>
      <c r="D10" s="96" t="s">
        <v>16</v>
      </c>
      <c r="E10" s="96" t="s">
        <v>24</v>
      </c>
      <c r="F10" s="104" t="s">
        <v>28</v>
      </c>
      <c r="G10" s="104" t="s">
        <v>19</v>
      </c>
      <c r="H10" s="96"/>
      <c r="I10" s="104" t="s">
        <v>20</v>
      </c>
      <c r="J10" s="110"/>
      <c r="K10" s="110"/>
      <c r="L10" s="111">
        <f>L5+3</f>
        <v>-340</v>
      </c>
      <c r="M10" s="111">
        <f>'附件2 经营性净现金流利润编制明细2026415'!E47</f>
        <v>14.289811749552801</v>
      </c>
      <c r="N10" s="111">
        <f t="shared" si="0"/>
        <v>354.28981174955283</v>
      </c>
      <c r="O10" s="110"/>
    </row>
    <row r="11" spans="2:15" ht="14.5" thickBot="1" x14ac:dyDescent="0.35">
      <c r="B11" s="96">
        <v>8</v>
      </c>
      <c r="C11" s="96" t="s">
        <v>15</v>
      </c>
      <c r="D11" s="97" t="s">
        <v>29</v>
      </c>
      <c r="E11" s="97" t="s">
        <v>17</v>
      </c>
      <c r="F11" s="109" t="s">
        <v>30</v>
      </c>
      <c r="G11" s="104" t="s">
        <v>19</v>
      </c>
      <c r="H11" s="96"/>
      <c r="I11" s="104" t="s">
        <v>31</v>
      </c>
      <c r="J11" s="110"/>
      <c r="K11" s="110"/>
      <c r="L11" s="114">
        <v>43</v>
      </c>
      <c r="M11" s="115">
        <v>40</v>
      </c>
      <c r="N11" s="114">
        <f t="shared" si="0"/>
        <v>-3</v>
      </c>
      <c r="O11" s="110"/>
    </row>
    <row r="12" spans="2:15" ht="14.5" thickBot="1" x14ac:dyDescent="0.35">
      <c r="B12" s="116">
        <v>9</v>
      </c>
      <c r="C12" s="116" t="s">
        <v>15</v>
      </c>
      <c r="D12" s="117" t="s">
        <v>29</v>
      </c>
      <c r="E12" s="117" t="s">
        <v>17</v>
      </c>
      <c r="F12" s="118" t="s">
        <v>32</v>
      </c>
      <c r="G12" s="119" t="s">
        <v>19</v>
      </c>
      <c r="H12" s="116"/>
      <c r="I12" s="119" t="s">
        <v>20</v>
      </c>
      <c r="J12" s="120"/>
      <c r="K12" s="120"/>
      <c r="L12" s="121">
        <v>0</v>
      </c>
      <c r="M12" s="122">
        <f>'附件2 经营性净现金流利润编制明细2026415'!AG4</f>
        <v>425</v>
      </c>
      <c r="N12" s="123">
        <f t="shared" si="0"/>
        <v>425</v>
      </c>
      <c r="O12" s="120"/>
    </row>
    <row r="13" spans="2:15" ht="14.5" thickBot="1" x14ac:dyDescent="0.35">
      <c r="B13" s="96">
        <v>10</v>
      </c>
      <c r="C13" s="96" t="s">
        <v>15</v>
      </c>
      <c r="D13" s="96" t="s">
        <v>29</v>
      </c>
      <c r="E13" s="96" t="s">
        <v>24</v>
      </c>
      <c r="F13" s="104" t="s">
        <v>33</v>
      </c>
      <c r="G13" s="104" t="s">
        <v>19</v>
      </c>
      <c r="H13" s="96"/>
      <c r="I13" s="104" t="s">
        <v>20</v>
      </c>
      <c r="J13" s="110"/>
      <c r="K13" s="110"/>
      <c r="L13" s="111">
        <f>L4-'[1]预算分板块对比分析-国投其他'!$D$31</f>
        <v>3.5300000000000011</v>
      </c>
      <c r="M13" s="111">
        <f>'附件2 经营性净现金流利润编制明细2026415'!E5-'附件2 经营性净现金流利润编制明细2026415'!E15</f>
        <v>1197.9952206114901</v>
      </c>
      <c r="N13" s="111">
        <f t="shared" si="0"/>
        <v>1194.4652206114902</v>
      </c>
      <c r="O13" s="110"/>
    </row>
    <row r="14" spans="2:15" ht="14.5" thickBot="1" x14ac:dyDescent="0.35">
      <c r="B14" s="116">
        <v>11</v>
      </c>
      <c r="C14" s="96" t="s">
        <v>15</v>
      </c>
      <c r="D14" s="96" t="s">
        <v>29</v>
      </c>
      <c r="E14" s="96" t="s">
        <v>24</v>
      </c>
      <c r="F14" s="124" t="s">
        <v>174</v>
      </c>
      <c r="G14" s="104"/>
      <c r="H14" s="96"/>
      <c r="I14" s="124" t="s">
        <v>177</v>
      </c>
      <c r="J14" s="124" t="s">
        <v>177</v>
      </c>
      <c r="K14" s="124" t="s">
        <v>177</v>
      </c>
      <c r="L14" s="126" t="s">
        <v>177</v>
      </c>
      <c r="M14" s="125" t="s">
        <v>178</v>
      </c>
      <c r="N14" s="126" t="s">
        <v>177</v>
      </c>
      <c r="O14" s="110"/>
    </row>
    <row r="15" spans="2:15" ht="14.5" thickBot="1" x14ac:dyDescent="0.35">
      <c r="B15" s="96">
        <v>12</v>
      </c>
      <c r="C15" s="96" t="s">
        <v>15</v>
      </c>
      <c r="D15" s="96" t="s">
        <v>29</v>
      </c>
      <c r="E15" s="96" t="s">
        <v>24</v>
      </c>
      <c r="F15" s="124" t="s">
        <v>175</v>
      </c>
      <c r="G15" s="104"/>
      <c r="H15" s="96"/>
      <c r="I15" s="124" t="s">
        <v>176</v>
      </c>
      <c r="J15" s="110"/>
      <c r="K15" s="110"/>
      <c r="L15" s="111">
        <v>4</v>
      </c>
      <c r="M15" s="111">
        <v>4</v>
      </c>
      <c r="N15" s="111">
        <f t="shared" si="0"/>
        <v>0</v>
      </c>
      <c r="O15" s="110"/>
    </row>
    <row r="16" spans="2:15" ht="14.5" thickBot="1" x14ac:dyDescent="0.35"/>
    <row r="17" spans="2:13" ht="14.15" customHeight="1" x14ac:dyDescent="0.3">
      <c r="B17" s="132" t="s">
        <v>34</v>
      </c>
      <c r="C17" s="133"/>
      <c r="D17" s="133"/>
      <c r="E17" s="133"/>
      <c r="F17" s="133"/>
      <c r="G17" s="133"/>
      <c r="H17" s="133"/>
      <c r="I17" s="133"/>
      <c r="J17" s="133"/>
      <c r="K17" s="133"/>
      <c r="L17" s="133"/>
      <c r="M17" s="134"/>
    </row>
    <row r="18" spans="2:13" ht="46" customHeight="1" x14ac:dyDescent="0.3">
      <c r="B18" s="135" t="s">
        <v>35</v>
      </c>
      <c r="C18" s="136"/>
      <c r="D18" s="136"/>
      <c r="E18" s="136"/>
      <c r="F18" s="136"/>
      <c r="G18" s="136"/>
      <c r="H18" s="136"/>
      <c r="I18" s="136"/>
      <c r="J18" s="136"/>
      <c r="K18" s="136"/>
      <c r="L18" s="136"/>
      <c r="M18" s="137"/>
    </row>
    <row r="19" spans="2:13" ht="14" customHeight="1" x14ac:dyDescent="0.3">
      <c r="B19" s="135" t="s">
        <v>36</v>
      </c>
      <c r="C19" s="136"/>
      <c r="D19" s="136"/>
      <c r="E19" s="136"/>
      <c r="F19" s="136"/>
      <c r="G19" s="136"/>
      <c r="H19" s="136"/>
      <c r="I19" s="136"/>
      <c r="J19" s="136"/>
      <c r="K19" s="136"/>
      <c r="L19" s="136"/>
      <c r="M19" s="137"/>
    </row>
    <row r="20" spans="2:13" ht="14" customHeight="1" x14ac:dyDescent="0.3">
      <c r="B20" s="135" t="s">
        <v>37</v>
      </c>
      <c r="C20" s="136"/>
      <c r="D20" s="136"/>
      <c r="E20" s="136"/>
      <c r="F20" s="136"/>
      <c r="G20" s="136"/>
      <c r="H20" s="136"/>
      <c r="I20" s="136"/>
      <c r="J20" s="136"/>
      <c r="K20" s="136"/>
      <c r="L20" s="136"/>
      <c r="M20" s="137"/>
    </row>
    <row r="21" spans="2:13" ht="14" customHeight="1" x14ac:dyDescent="0.3">
      <c r="B21" s="135" t="s">
        <v>38</v>
      </c>
      <c r="C21" s="136"/>
      <c r="D21" s="136"/>
      <c r="E21" s="136"/>
      <c r="F21" s="136"/>
      <c r="G21" s="136"/>
      <c r="H21" s="136"/>
      <c r="I21" s="136"/>
      <c r="J21" s="136"/>
      <c r="K21" s="136"/>
      <c r="L21" s="136"/>
      <c r="M21" s="137"/>
    </row>
    <row r="22" spans="2:13" ht="14" customHeight="1" x14ac:dyDescent="0.3">
      <c r="B22" s="135" t="s">
        <v>39</v>
      </c>
      <c r="C22" s="136"/>
      <c r="D22" s="136"/>
      <c r="E22" s="136"/>
      <c r="F22" s="136"/>
      <c r="G22" s="136"/>
      <c r="H22" s="136"/>
      <c r="I22" s="136"/>
      <c r="J22" s="136"/>
      <c r="K22" s="136"/>
      <c r="L22" s="136"/>
      <c r="M22" s="137"/>
    </row>
    <row r="23" spans="2:13" ht="14" customHeight="1" x14ac:dyDescent="0.3">
      <c r="B23" s="135" t="s">
        <v>40</v>
      </c>
      <c r="C23" s="136"/>
      <c r="D23" s="136"/>
      <c r="E23" s="136"/>
      <c r="F23" s="136"/>
      <c r="G23" s="136"/>
      <c r="H23" s="136"/>
      <c r="I23" s="136"/>
      <c r="J23" s="136"/>
      <c r="K23" s="136"/>
      <c r="L23" s="136"/>
      <c r="M23" s="137"/>
    </row>
    <row r="24" spans="2:13" ht="14" customHeight="1" x14ac:dyDescent="0.3">
      <c r="B24" s="135" t="s">
        <v>41</v>
      </c>
      <c r="C24" s="136"/>
      <c r="D24" s="136"/>
      <c r="E24" s="136"/>
      <c r="F24" s="136"/>
      <c r="G24" s="136"/>
      <c r="H24" s="136"/>
      <c r="I24" s="136"/>
      <c r="J24" s="136"/>
      <c r="K24" s="136"/>
      <c r="L24" s="136"/>
      <c r="M24" s="137"/>
    </row>
    <row r="25" spans="2:13" ht="14" customHeight="1" x14ac:dyDescent="0.3">
      <c r="B25" s="135" t="s">
        <v>42</v>
      </c>
      <c r="C25" s="136"/>
      <c r="D25" s="136"/>
      <c r="E25" s="136"/>
      <c r="F25" s="136"/>
      <c r="G25" s="136"/>
      <c r="H25" s="136"/>
      <c r="I25" s="136"/>
      <c r="J25" s="136"/>
      <c r="K25" s="136"/>
      <c r="L25" s="136"/>
      <c r="M25" s="137"/>
    </row>
    <row r="26" spans="2:13" ht="14" customHeight="1" x14ac:dyDescent="0.3">
      <c r="B26" s="135" t="s">
        <v>43</v>
      </c>
      <c r="C26" s="136"/>
      <c r="D26" s="136"/>
      <c r="E26" s="136"/>
      <c r="F26" s="136"/>
      <c r="G26" s="136"/>
      <c r="H26" s="136"/>
      <c r="I26" s="136"/>
      <c r="J26" s="136"/>
      <c r="K26" s="136"/>
      <c r="L26" s="136"/>
      <c r="M26" s="137"/>
    </row>
    <row r="27" spans="2:13" ht="14" customHeight="1" x14ac:dyDescent="0.3">
      <c r="B27" s="138" t="s">
        <v>44</v>
      </c>
      <c r="C27" s="139"/>
      <c r="D27" s="139"/>
      <c r="E27" s="139"/>
      <c r="F27" s="139"/>
      <c r="G27" s="139"/>
      <c r="H27" s="139"/>
      <c r="I27" s="139"/>
      <c r="J27" s="139"/>
      <c r="K27" s="139"/>
      <c r="L27" s="139"/>
      <c r="M27" s="140"/>
    </row>
  </sheetData>
  <mergeCells count="12">
    <mergeCell ref="B26:M26"/>
    <mergeCell ref="B27:M27"/>
    <mergeCell ref="B21:M21"/>
    <mergeCell ref="B22:M22"/>
    <mergeCell ref="B23:M23"/>
    <mergeCell ref="B24:M24"/>
    <mergeCell ref="B25:M25"/>
    <mergeCell ref="B2:O2"/>
    <mergeCell ref="B17:M17"/>
    <mergeCell ref="B18:M18"/>
    <mergeCell ref="B19:M19"/>
    <mergeCell ref="B20:M20"/>
  </mergeCells>
  <phoneticPr fontId="24" type="noConversion"/>
  <dataValidations count="2">
    <dataValidation type="list" allowBlank="1" showInputMessage="1" showErrorMessage="1" sqref="D4:D15" xr:uid="{00000000-0002-0000-0000-000000000000}">
      <formula1>"业绩类指标,任务类指标"</formula1>
    </dataValidation>
    <dataValidation type="list" allowBlank="1" showInputMessage="1" showErrorMessage="1" sqref="E4:E15" xr:uid="{00000000-0002-0000-0000-000001000000}">
      <formula1>"关注,考核"</formula1>
    </dataValidation>
  </dataValidations>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T16"/>
  <sheetViews>
    <sheetView showGridLines="0" zoomScale="130" zoomScaleNormal="130" workbookViewId="0">
      <selection activeCell="G28" sqref="G28"/>
    </sheetView>
  </sheetViews>
  <sheetFormatPr defaultColWidth="9" defaultRowHeight="14" x14ac:dyDescent="0.3"/>
  <cols>
    <col min="1" max="1" width="3.9140625" customWidth="1"/>
    <col min="2" max="2" width="4.9140625" customWidth="1"/>
    <col min="3" max="3" width="12.1640625" customWidth="1"/>
    <col min="4" max="4" width="6.1640625" customWidth="1"/>
    <col min="5" max="5" width="25.4140625" style="8" customWidth="1"/>
    <col min="7" max="7" width="12.1640625" customWidth="1"/>
    <col min="8" max="10" width="10.58203125" customWidth="1"/>
    <col min="11" max="11" width="14.58203125" customWidth="1"/>
    <col min="12" max="12" width="10.58203125" style="8" customWidth="1"/>
    <col min="13" max="13" width="14.58203125" style="8" customWidth="1"/>
    <col min="14" max="15" width="10.58203125" style="8" customWidth="1"/>
    <col min="16" max="16" width="14.58203125" style="8" customWidth="1"/>
    <col min="17" max="17" width="10.58203125" style="8" customWidth="1"/>
    <col min="18" max="18" width="10.58203125" customWidth="1"/>
    <col min="19" max="19" width="14.58203125" customWidth="1"/>
  </cols>
  <sheetData>
    <row r="2" spans="2:20" ht="21" x14ac:dyDescent="0.3">
      <c r="B2" s="141" t="s">
        <v>45</v>
      </c>
      <c r="C2" s="141"/>
      <c r="D2" s="141"/>
      <c r="E2" s="141"/>
      <c r="F2" s="141"/>
      <c r="G2" s="141"/>
      <c r="H2" s="141"/>
      <c r="I2" s="141"/>
      <c r="J2" s="141"/>
      <c r="K2" s="141"/>
      <c r="L2" s="141"/>
      <c r="M2" s="141"/>
      <c r="N2" s="141"/>
      <c r="O2" s="141"/>
      <c r="P2" s="141"/>
      <c r="Q2" s="141"/>
      <c r="R2" s="141"/>
      <c r="S2" s="141"/>
    </row>
    <row r="3" spans="2:20" x14ac:dyDescent="0.3">
      <c r="B3" s="145" t="s">
        <v>1</v>
      </c>
      <c r="C3" s="145" t="s">
        <v>3</v>
      </c>
      <c r="D3" s="145" t="s">
        <v>4</v>
      </c>
      <c r="E3" s="145" t="s">
        <v>5</v>
      </c>
      <c r="F3" s="145" t="s">
        <v>8</v>
      </c>
      <c r="G3" s="145" t="s">
        <v>46</v>
      </c>
      <c r="H3" s="142" t="s">
        <v>47</v>
      </c>
      <c r="I3" s="143"/>
      <c r="J3" s="143"/>
      <c r="K3" s="143"/>
      <c r="L3" s="143"/>
      <c r="M3" s="143"/>
      <c r="N3" s="143"/>
      <c r="O3" s="143"/>
      <c r="P3" s="143"/>
      <c r="Q3" s="143"/>
      <c r="R3" s="143"/>
      <c r="S3" s="144"/>
    </row>
    <row r="4" spans="2:20" x14ac:dyDescent="0.3">
      <c r="B4" s="146"/>
      <c r="C4" s="146"/>
      <c r="D4" s="146"/>
      <c r="E4" s="146"/>
      <c r="F4" s="146"/>
      <c r="G4" s="146"/>
      <c r="H4" s="94" t="s">
        <v>48</v>
      </c>
      <c r="I4" s="94" t="s">
        <v>49</v>
      </c>
      <c r="J4" s="94" t="s">
        <v>50</v>
      </c>
      <c r="K4" s="94" t="s">
        <v>51</v>
      </c>
      <c r="L4" s="94" t="s">
        <v>52</v>
      </c>
      <c r="M4" s="94" t="s">
        <v>53</v>
      </c>
      <c r="N4" s="94" t="s">
        <v>54</v>
      </c>
      <c r="O4" s="94" t="s">
        <v>55</v>
      </c>
      <c r="P4" s="94" t="s">
        <v>56</v>
      </c>
      <c r="Q4" s="94" t="s">
        <v>57</v>
      </c>
      <c r="R4" s="94" t="s">
        <v>58</v>
      </c>
      <c r="S4" s="94" t="s">
        <v>59</v>
      </c>
      <c r="T4" s="95" t="s">
        <v>60</v>
      </c>
    </row>
    <row r="5" spans="2:20" x14ac:dyDescent="0.3">
      <c r="B5" s="96">
        <v>1</v>
      </c>
      <c r="C5" s="97" t="str">
        <f>经营目标!D4</f>
        <v>业绩类指标</v>
      </c>
      <c r="D5" s="97" t="str">
        <f>经营目标!E4</f>
        <v>考核</v>
      </c>
      <c r="E5" s="98" t="s">
        <v>18</v>
      </c>
      <c r="F5" s="96" t="str">
        <f>经营目标!I4</f>
        <v>万元</v>
      </c>
      <c r="G5" s="99">
        <f>经营目标!M4</f>
        <v>2884.03496906294</v>
      </c>
      <c r="H5" s="100">
        <f>'附件2 经营性净现金流利润编制明细2026415'!F5</f>
        <v>18.0460263007433</v>
      </c>
      <c r="I5" s="100">
        <f>'附件2 经营性净现金流利润编制明细2026415'!G5</f>
        <v>18.0460263007433</v>
      </c>
      <c r="J5" s="100">
        <f>'附件2 经营性净现金流利润编制明细2026415'!H5</f>
        <v>270.69039451114901</v>
      </c>
      <c r="K5" s="100">
        <f>'附件2 经营性净现金流利润编制明细2026415'!I5</f>
        <v>354.140777757021</v>
      </c>
      <c r="L5" s="100">
        <f>'附件2 经营性净现金流利润编制明细2026415'!J5</f>
        <v>354.140777757021</v>
      </c>
      <c r="M5" s="100">
        <f>'附件2 经营性净现金流利润编制明细2026415'!K5</f>
        <v>354.140777757021</v>
      </c>
      <c r="N5" s="100">
        <f>'附件2 经营性净现金流利润编制明细2026415'!L5</f>
        <v>226.13836477987499</v>
      </c>
      <c r="O5" s="100">
        <f>'附件2 经营性净现金流利润编制明细2026415'!M5</f>
        <v>256.138364779874</v>
      </c>
      <c r="P5" s="100">
        <f>'附件2 经营性净现金流利润编制明细2026415'!N5</f>
        <v>256.138364779874</v>
      </c>
      <c r="Q5" s="100">
        <f>'附件2 经营性净现金流利润编制明细2026415'!O5</f>
        <v>258.80503144654102</v>
      </c>
      <c r="R5" s="100">
        <f>'附件2 经营性净现金流利润编制明细2026415'!P5</f>
        <v>258.80503144654102</v>
      </c>
      <c r="S5" s="100">
        <f>'附件2 经营性净现金流利润编制明细2026415'!Q5</f>
        <v>258.80503144654102</v>
      </c>
      <c r="T5" s="8">
        <f>G5-SUM(H5:S5)</f>
        <v>-4.0927261579781771E-12</v>
      </c>
    </row>
    <row r="6" spans="2:20" x14ac:dyDescent="0.3">
      <c r="B6" s="96">
        <v>2</v>
      </c>
      <c r="C6" s="97" t="str">
        <f>经营目标!D5</f>
        <v>业绩类指标</v>
      </c>
      <c r="D6" s="97" t="str">
        <f>经营目标!E5</f>
        <v>考核</v>
      </c>
      <c r="E6" s="98" t="str">
        <f>经营目标!F5</f>
        <v>利润总额</v>
      </c>
      <c r="F6" s="96" t="str">
        <f>经营目标!I5</f>
        <v>万元</v>
      </c>
      <c r="G6" s="99">
        <f>经营目标!M5</f>
        <v>1.03981174955288</v>
      </c>
      <c r="H6" s="100">
        <f>'附件2 经营性净现金流利润编制明细2026415'!F38</f>
        <v>-69.619249612672903</v>
      </c>
      <c r="I6" s="100">
        <f>'附件2 经营性净现金流利润编制明细2026415'!G38</f>
        <v>-66.686698254339504</v>
      </c>
      <c r="J6" s="100">
        <f>'附件2 经营性净现金流利润编制明细2026415'!H38</f>
        <v>39.863958783750498</v>
      </c>
      <c r="K6" s="100">
        <f>'附件2 经营性净现金流利润编制明细2026415'!I38</f>
        <v>56.793738481444002</v>
      </c>
      <c r="L6" s="100">
        <f>'附件2 经营性净现金流利润编制明细2026415'!J38</f>
        <v>25.345321843664902</v>
      </c>
      <c r="M6" s="100">
        <f>'附件2 经营性净现金流利润编制明细2026415'!K38</f>
        <v>27.2729333022363</v>
      </c>
      <c r="N6" s="100">
        <f>'附件2 经营性净现金流利润编制明细2026415'!L38</f>
        <v>-51.410546786172802</v>
      </c>
      <c r="O6" s="100">
        <f>'附件2 经营性净现金流利润编制明细2026415'!M38</f>
        <v>30.318993322177299</v>
      </c>
      <c r="P6" s="100">
        <f>'附件2 经营性净现金流利润编制明细2026415'!N38</f>
        <v>28.066958352177402</v>
      </c>
      <c r="Q6" s="100">
        <f>'附件2 经营性净现金流利润编制明细2026415'!O38</f>
        <v>23.600059359913399</v>
      </c>
      <c r="R6" s="100">
        <f>'附件2 经营性净现金流利润编制明细2026415'!P38</f>
        <v>32.239580993686999</v>
      </c>
      <c r="S6" s="100">
        <f>'附件2 经营性净现金流利润编制明细2026415'!Q38</f>
        <v>-74.745238036312699</v>
      </c>
      <c r="T6" s="8">
        <f>G6-SUM(H6:S6)</f>
        <v>-2.2204460492503131E-15</v>
      </c>
    </row>
    <row r="7" spans="2:20" x14ac:dyDescent="0.3">
      <c r="B7" s="96">
        <v>3</v>
      </c>
      <c r="C7" s="97" t="str">
        <f>经营目标!D6</f>
        <v>业绩类指标</v>
      </c>
      <c r="D7" s="97" t="str">
        <f>经营目标!E6</f>
        <v>考核</v>
      </c>
      <c r="E7" s="98" t="str">
        <f>经营目标!F6</f>
        <v>销管研费用</v>
      </c>
      <c r="F7" s="96" t="str">
        <f>经营目标!I6</f>
        <v>万元</v>
      </c>
      <c r="G7" s="99">
        <f>经营目标!M6</f>
        <v>1163.7140593916661</v>
      </c>
      <c r="H7" s="101">
        <f>'附件2 经营性净现金流利润编制明细2026415'!F24+'附件2 经营性净现金流利润编制明细2026415'!F27+'附件2 经营性净现金流利润编制明细2026415'!F30</f>
        <v>78.642201185000005</v>
      </c>
      <c r="I7" s="101">
        <f>'附件2 经营性净现金流利润编制明细2026415'!G24+'附件2 经营性净现金流利润编制明细2026415'!G27+'附件2 经营性净现金流利润编制明细2026415'!G30</f>
        <v>73.336949826666597</v>
      </c>
      <c r="J7" s="101">
        <f>'附件2 经营性净现金流利润编制明细2026415'!H24+'附件2 经营性净现金流利润编制明细2026415'!H27+'附件2 经营性净现金流利润编制明细2026415'!H30</f>
        <v>79.962211583333414</v>
      </c>
      <c r="K7" s="101">
        <f>'附件2 经营性净现金流利润编制明细2026415'!I24+'附件2 经营性净现金流利润编制明细2026415'!I27+'附件2 经营性净现金流利润编制明细2026415'!I30</f>
        <v>83.528479886666304</v>
      </c>
      <c r="L7" s="101">
        <f>'附件2 经营性净现金流利润编制明细2026415'!J24+'附件2 经营性净现金流利润编制明细2026415'!J27+'附件2 经营性净现金流利润编制明细2026415'!J30</f>
        <v>83.81167825</v>
      </c>
      <c r="M7" s="101">
        <f>'附件2 经营性净现金流利润编制明细2026415'!K24+'附件2 经营性净现金流利润编制明细2026415'!K27+'附件2 经营性净现金流利润编制明细2026415'!K30</f>
        <v>82.01201322</v>
      </c>
      <c r="N7" s="101">
        <f>'附件2 经营性净现金流利润编制明细2026415'!L24+'附件2 经营性净现金流利润编制明细2026415'!L27+'附件2 经营性净现金流利润编制明细2026415'!L30</f>
        <v>135.41714191666659</v>
      </c>
      <c r="O7" s="101">
        <f>'附件2 经营性净现金流利润编制明细2026415'!M24+'附件2 经营性净现金流利润编制明细2026415'!M27+'附件2 经营性净现金流利润编制明细2026415'!M30</f>
        <v>83.840591916666597</v>
      </c>
      <c r="P7" s="101">
        <f>'附件2 经营性净现金流利润编制明细2026415'!N24+'附件2 经营性净现金流利润编制明细2026415'!N27+'附件2 经营性净现金流利润编制明细2026415'!N30</f>
        <v>85.912626886666601</v>
      </c>
      <c r="Q7" s="101">
        <f>'附件2 经营性净现金流利润编制明细2026415'!O24+'附件2 经营性净现金流利润编制明细2026415'!O27+'附件2 经营性净现金流利润编制明细2026415'!O30</f>
        <v>95.870091916666595</v>
      </c>
      <c r="R7" s="101">
        <f>'附件2 经营性净现金流利润编制明细2026415'!P24+'附件2 经营性净现金流利润编制明细2026415'!P27+'附件2 经营性净现金流利润编制明细2026415'!P30</f>
        <v>87.197626886666598</v>
      </c>
      <c r="S7" s="101">
        <f>'附件2 经营性净现金流利润编制明细2026415'!Q24+'附件2 经营性净现金流利润编制明细2026415'!Q27+'附件2 经营性净现金流利润编制明细2026415'!Q30</f>
        <v>194.18244591666627</v>
      </c>
      <c r="T7" s="8">
        <f>G7-SUM(H7:S7)</f>
        <v>0</v>
      </c>
    </row>
    <row r="8" spans="2:20" x14ac:dyDescent="0.3">
      <c r="B8" s="96">
        <v>4</v>
      </c>
      <c r="C8" s="96" t="str">
        <f>经营目标!D7</f>
        <v>业绩类指标</v>
      </c>
      <c r="D8" s="96" t="str">
        <f>经营目标!E7</f>
        <v>关注</v>
      </c>
      <c r="E8" s="102" t="str">
        <f>经营目标!F7</f>
        <v>成本费用总额</v>
      </c>
      <c r="F8" s="96" t="str">
        <f>经营目标!I7</f>
        <v>万元</v>
      </c>
      <c r="G8" s="103">
        <f>经营目标!M7</f>
        <v>2882.9951573133899</v>
      </c>
      <c r="H8" s="100">
        <f>'附件2 经营性净现金流利润编制明细2026415'!F14</f>
        <v>87.665275913416295</v>
      </c>
      <c r="I8" s="100">
        <f>'附件2 经营性净现金流利润编制明细2026415'!G14</f>
        <v>84.732724555082797</v>
      </c>
      <c r="J8" s="100">
        <f>'附件2 经营性净现金流利润编制明细2026415'!H14</f>
        <v>230.82643572739801</v>
      </c>
      <c r="K8" s="100">
        <f>'附件2 经营性净现金流利润编制明细2026415'!I14</f>
        <v>297.347039275577</v>
      </c>
      <c r="L8" s="100">
        <f>'附件2 经营性净现金流利润编制明细2026415'!J14</f>
        <v>328.79545591335602</v>
      </c>
      <c r="M8" s="100">
        <f>'附件2 经营性净现金流利润编制明细2026415'!K14</f>
        <v>326.86784445478497</v>
      </c>
      <c r="N8" s="100">
        <f>'附件2 经营性净现金流利润编制明细2026415'!L14</f>
        <v>277.54891156604702</v>
      </c>
      <c r="O8" s="100">
        <f>'附件2 经营性净现金流利润编制明细2026415'!M14</f>
        <v>225.819371457697</v>
      </c>
      <c r="P8" s="100">
        <f>'附件2 经营性净现金流利润编制明细2026415'!N14</f>
        <v>228.07140642769701</v>
      </c>
      <c r="Q8" s="100">
        <f>'附件2 经营性净现金流利润编制明细2026415'!O14</f>
        <v>235.204972086628</v>
      </c>
      <c r="R8" s="100">
        <f>'附件2 经营性净现金流利润编制明细2026415'!P14</f>
        <v>226.56545045285401</v>
      </c>
      <c r="S8" s="100">
        <f>'附件2 经营性净现金流利润编制明细2026415'!Q14</f>
        <v>333.55026948285399</v>
      </c>
      <c r="T8" s="8">
        <f t="shared" ref="T8:T14" si="0">G8-SUM(H8:S8)</f>
        <v>0</v>
      </c>
    </row>
    <row r="9" spans="2:20" x14ac:dyDescent="0.3">
      <c r="B9" s="96">
        <v>5</v>
      </c>
      <c r="C9" s="96" t="str">
        <f>经营目标!D8</f>
        <v>业绩类指标</v>
      </c>
      <c r="D9" s="96" t="str">
        <f>经营目标!E8</f>
        <v>关注</v>
      </c>
      <c r="E9" s="102" t="str">
        <f>经营目标!F8</f>
        <v>经营活动产生的现金流量净额</v>
      </c>
      <c r="F9" s="96" t="str">
        <f>经营目标!I8</f>
        <v>万元</v>
      </c>
      <c r="G9" s="103">
        <f>经营目标!M8</f>
        <v>14.1713936436072</v>
      </c>
      <c r="H9" s="101">
        <f>'附件3 经营性资金计划 2026415'!F22</f>
        <v>-78.58</v>
      </c>
      <c r="I9" s="101">
        <f>'附件3 经营性资金计划 2026415'!G22</f>
        <v>-86.1</v>
      </c>
      <c r="J9" s="101">
        <f>'附件3 经营性资金计划 2026415'!H22</f>
        <v>-83.353513436249301</v>
      </c>
      <c r="K9" s="101">
        <f>'附件3 经营性资金计划 2026415'!I22</f>
        <v>-119.742288526965</v>
      </c>
      <c r="L9" s="101">
        <f>'附件3 经营性资金计划 2026415'!J22</f>
        <v>-64.677318864810999</v>
      </c>
      <c r="M9" s="101">
        <f>'附件3 经营性资金计划 2026415'!K22</f>
        <v>-9.0839698082069695</v>
      </c>
      <c r="N9" s="101">
        <f>'附件3 经营性资金计划 2026415'!L22</f>
        <v>45.676429562861998</v>
      </c>
      <c r="O9" s="101">
        <f>'附件3 经营性资金计划 2026415'!M22</f>
        <v>143.72932075471701</v>
      </c>
      <c r="P9" s="101">
        <f>'附件3 经营性资金计划 2026415'!N22</f>
        <v>94.339320754716695</v>
      </c>
      <c r="Q9" s="101">
        <f>'附件3 经营性资金计划 2026415'!O22</f>
        <v>-16.200679245283101</v>
      </c>
      <c r="R9" s="101">
        <f>'附件3 经营性资金计划 2026415'!P22</f>
        <v>90.904349056603394</v>
      </c>
      <c r="S9" s="101">
        <f>'附件3 经营性资金计划 2026415'!Q22</f>
        <v>97.259743396226298</v>
      </c>
      <c r="T9" s="8">
        <f t="shared" si="0"/>
        <v>-2.7746693831431912E-12</v>
      </c>
    </row>
    <row r="10" spans="2:20" x14ac:dyDescent="0.3">
      <c r="B10" s="96">
        <v>6</v>
      </c>
      <c r="C10" s="96" t="str">
        <f>经营目标!D9</f>
        <v>业绩类指标</v>
      </c>
      <c r="D10" s="96" t="str">
        <f>经营目标!E9</f>
        <v>关注</v>
      </c>
      <c r="E10" s="104" t="s">
        <v>27</v>
      </c>
      <c r="F10" s="96" t="str">
        <f>经营目标!I9</f>
        <v>万元</v>
      </c>
      <c r="G10" s="103">
        <f>经营目标!M9</f>
        <v>3001.4013020011398</v>
      </c>
      <c r="H10" s="101">
        <f>'附件3 经营性资金计划 2026415'!F6</f>
        <v>0</v>
      </c>
      <c r="I10" s="101">
        <f>'附件3 经营性资金计划 2026415'!G6</f>
        <v>0</v>
      </c>
      <c r="J10" s="101">
        <f>'附件3 经营性资金计划 2026415'!H6</f>
        <v>18.226486563750701</v>
      </c>
      <c r="K10" s="101">
        <f>'附件3 经营性资金计划 2026415'!I6</f>
        <v>101.235849056604</v>
      </c>
      <c r="L10" s="101">
        <f>'附件3 经营性资金计划 2026415'!J6</f>
        <v>235.93449828473399</v>
      </c>
      <c r="M10" s="101">
        <f>'附件3 经营性资金计划 2026415'!K6</f>
        <v>352.78301886792502</v>
      </c>
      <c r="N10" s="101">
        <f>'附件3 经营性资金计划 2026415'!L6</f>
        <v>439.70666666666699</v>
      </c>
      <c r="O10" s="101">
        <f>'附件3 经营性资金计划 2026415'!M6</f>
        <v>501.506666666667</v>
      </c>
      <c r="P10" s="101">
        <f>'附件3 经营性资金计划 2026415'!N6</f>
        <v>365.506666666667</v>
      </c>
      <c r="Q10" s="101">
        <f>'附件3 经营性资金计划 2026415'!O6</f>
        <v>182.333333333333</v>
      </c>
      <c r="R10" s="101">
        <f>'附件3 经营性资金计划 2026415'!P6</f>
        <v>409.031982561463</v>
      </c>
      <c r="S10" s="101">
        <f>'附件3 经营性资金计划 2026415'!Q6</f>
        <v>395.13613333333302</v>
      </c>
      <c r="T10" s="8">
        <f t="shared" si="0"/>
        <v>-3.637978807091713E-12</v>
      </c>
    </row>
    <row r="11" spans="2:20" ht="26" x14ac:dyDescent="0.3">
      <c r="B11" s="96">
        <v>7</v>
      </c>
      <c r="C11" s="96" t="str">
        <f>经营目标!D10</f>
        <v>业绩类指标</v>
      </c>
      <c r="D11" s="96" t="str">
        <f>经营目标!E10</f>
        <v>关注</v>
      </c>
      <c r="E11" s="104" t="s">
        <v>28</v>
      </c>
      <c r="F11" s="96" t="str">
        <f>经营目标!I10</f>
        <v>万元</v>
      </c>
      <c r="G11" s="103">
        <f>经营目标!M10</f>
        <v>14.289811749552801</v>
      </c>
      <c r="H11" s="101">
        <f>'附件2 经营性净现金流利润编制明细2026415'!F40+'附件2 经营性净现金流利润编制明细2026415'!F41</f>
        <v>-68.519249612672908</v>
      </c>
      <c r="I11" s="101">
        <f>'附件2 经营性净现金流利润编制明细2026415'!G40+'附件2 经营性净现金流利润编制明细2026415'!G41</f>
        <v>-65.58669825433951</v>
      </c>
      <c r="J11" s="101">
        <f>'附件2 经营性净现金流利润编制明细2026415'!H40+'附件2 经营性净现金流利润编制明细2026415'!H41</f>
        <v>40.963958783750499</v>
      </c>
      <c r="K11" s="101">
        <f>'附件2 经营性净现金流利润编制明细2026415'!I40+'附件2 经营性净现金流利润编制明细2026415'!I41</f>
        <v>57.893738481444004</v>
      </c>
      <c r="L11" s="101">
        <f>'附件2 经营性净现金流利润编制明细2026415'!J40+'附件2 经营性净现金流利润编制明细2026415'!J41</f>
        <v>26.445321843664903</v>
      </c>
      <c r="M11" s="101">
        <f>'附件2 经营性净现金流利润编制明细2026415'!K40+'附件2 经营性净现金流利润编制明细2026415'!K41</f>
        <v>28.372933302236302</v>
      </c>
      <c r="N11" s="101">
        <f>'附件2 经营性净现金流利润编制明细2026415'!L40+'附件2 经营性净现金流利润编制明细2026415'!L41</f>
        <v>-50.3105467861728</v>
      </c>
      <c r="O11" s="101">
        <f>'附件2 经营性净现金流利润编制明细2026415'!M40+'附件2 经营性净现金流利润编制明细2026415'!M41</f>
        <v>31.4189933221773</v>
      </c>
      <c r="P11" s="101">
        <f>'附件2 经营性净现金流利润编制明细2026415'!N40+'附件2 经营性净现金流利润编制明细2026415'!N41</f>
        <v>29.166958352177403</v>
      </c>
      <c r="Q11" s="101">
        <f>'附件2 经营性净现金流利润编制明细2026415'!O40+'附件2 经营性净现金流利润编制明细2026415'!O41</f>
        <v>24.7000593599134</v>
      </c>
      <c r="R11" s="101">
        <f>'附件2 经营性净现金流利润编制明细2026415'!P40+'附件2 经营性净现金流利润编制明细2026415'!P41</f>
        <v>33.339580993687001</v>
      </c>
      <c r="S11" s="101">
        <f>'附件2 经营性净现金流利润编制明细2026415'!Q40+'附件2 经营性净现金流利润编制明细2026415'!Q41</f>
        <v>-73.595238036312693</v>
      </c>
      <c r="T11" s="8"/>
    </row>
    <row r="12" spans="2:20" x14ac:dyDescent="0.3">
      <c r="B12" s="96">
        <v>8</v>
      </c>
      <c r="C12" s="97" t="str">
        <f>经营目标!D11</f>
        <v>任务类指标</v>
      </c>
      <c r="D12" s="97" t="str">
        <f>经营目标!E11</f>
        <v>考核</v>
      </c>
      <c r="E12" s="98" t="s">
        <v>30</v>
      </c>
      <c r="F12" s="96" t="str">
        <f>经营目标!I11</f>
        <v>家</v>
      </c>
      <c r="G12" s="105">
        <f>经营目标!M11</f>
        <v>40</v>
      </c>
      <c r="H12" s="106">
        <v>3</v>
      </c>
      <c r="I12" s="106">
        <v>2</v>
      </c>
      <c r="J12" s="106">
        <v>5</v>
      </c>
      <c r="K12" s="106">
        <v>5</v>
      </c>
      <c r="L12" s="106">
        <v>3</v>
      </c>
      <c r="M12" s="106">
        <v>5</v>
      </c>
      <c r="N12" s="106">
        <v>5</v>
      </c>
      <c r="O12" s="106">
        <v>5</v>
      </c>
      <c r="P12" s="106">
        <v>2</v>
      </c>
      <c r="Q12" s="106">
        <v>1</v>
      </c>
      <c r="R12" s="106">
        <v>2</v>
      </c>
      <c r="S12" s="106">
        <v>2</v>
      </c>
      <c r="T12" s="8">
        <f>G12-SUM(H12:S12)</f>
        <v>0</v>
      </c>
    </row>
    <row r="13" spans="2:20" x14ac:dyDescent="0.3">
      <c r="B13" s="96">
        <v>9</v>
      </c>
      <c r="C13" s="97" t="str">
        <f>经营目标!D12</f>
        <v>任务类指标</v>
      </c>
      <c r="D13" s="97" t="str">
        <f>经营目标!E12</f>
        <v>考核</v>
      </c>
      <c r="E13" s="164" t="s">
        <v>183</v>
      </c>
      <c r="F13" s="96" t="str">
        <f>经营目标!I12</f>
        <v>万元</v>
      </c>
      <c r="G13" s="105">
        <f>经营目标!M12</f>
        <v>425</v>
      </c>
      <c r="H13" s="106">
        <f>'附件2 经营性净现金流利润编制明细2026415'!U4</f>
        <v>0</v>
      </c>
      <c r="I13" s="106">
        <f>'附件2 经营性净现金流利润编制明细2026415'!V4</f>
        <v>0</v>
      </c>
      <c r="J13" s="106">
        <f>'附件2 经营性净现金流利润编制明细2026415'!W4</f>
        <v>0</v>
      </c>
      <c r="K13" s="106">
        <f>'附件2 经营性净现金流利润编制明细2026415'!X4</f>
        <v>0</v>
      </c>
      <c r="L13" s="106">
        <f>'附件2 经营性净现金流利润编制明细2026415'!Y4</f>
        <v>0</v>
      </c>
      <c r="M13" s="106">
        <f>'附件2 经营性净现金流利润编制明细2026415'!Z4</f>
        <v>0</v>
      </c>
      <c r="N13" s="106">
        <f>'附件2 经营性净现金流利润编制明细2026415'!AA4</f>
        <v>70.8333333333333</v>
      </c>
      <c r="O13" s="106">
        <f>'附件2 经营性净现金流利润编制明细2026415'!AB4</f>
        <v>70.8333333333333</v>
      </c>
      <c r="P13" s="106">
        <f>'附件2 经营性净现金流利润编制明细2026415'!AC4</f>
        <v>70.8333333333333</v>
      </c>
      <c r="Q13" s="106">
        <f>'附件2 经营性净现金流利润编制明细2026415'!AD4</f>
        <v>70.8333333333333</v>
      </c>
      <c r="R13" s="106">
        <f>'附件2 经营性净现金流利润编制明细2026415'!AE4</f>
        <v>70.8333333333333</v>
      </c>
      <c r="S13" s="106">
        <f>'附件2 经营性净现金流利润编制明细2026415'!AF4</f>
        <v>70.8333333333333</v>
      </c>
      <c r="T13" s="8">
        <f t="shared" si="0"/>
        <v>0</v>
      </c>
    </row>
    <row r="14" spans="2:20" ht="14.5" thickBot="1" x14ac:dyDescent="0.35">
      <c r="B14" s="96">
        <v>10</v>
      </c>
      <c r="C14" s="96" t="str">
        <f>经营目标!D13</f>
        <v>任务类指标</v>
      </c>
      <c r="D14" s="96" t="str">
        <f>经营目标!E13</f>
        <v>关注</v>
      </c>
      <c r="E14" s="102" t="str">
        <f>经营目标!F13</f>
        <v>年度实现毛利</v>
      </c>
      <c r="F14" s="96" t="str">
        <f>经营目标!I13</f>
        <v>万元</v>
      </c>
      <c r="G14" s="103">
        <f>经营目标!M13</f>
        <v>1197.9952206114901</v>
      </c>
      <c r="H14" s="107">
        <f>'附件2 经营性净现金流利润编制明细2026415'!F5-'附件2 经营性净现金流利润编制明细2026415'!F15</f>
        <v>10.219451572327049</v>
      </c>
      <c r="I14" s="107">
        <f>'附件2 经营性净现金流利润编制明细2026415'!G5-'附件2 经营性净现金流利润编制明细2026415'!G15</f>
        <v>7.9402515723270994</v>
      </c>
      <c r="J14" s="107">
        <f>'附件2 经营性净现金流利润编制明细2026415'!H5-'附件2 经营性净现金流利润编制明细2026415'!H15</f>
        <v>121.321595367084</v>
      </c>
      <c r="K14" s="107">
        <f>'附件2 经营性净现金流利润编制明细2026415'!I5-'附件2 经营性净现金流利润编制明细2026415'!I15</f>
        <v>142.781370259667</v>
      </c>
      <c r="L14" s="107">
        <f>'附件2 经营性净现金流利润编制明细2026415'!J5-'附件2 经营性净现金流利润编制明细2026415'!J15</f>
        <v>112.781370259667</v>
      </c>
      <c r="M14" s="107">
        <f>'附件2 经营性净现金流利润编制明细2026415'!K5-'附件2 经营性净现金流利润编制明细2026415'!K15</f>
        <v>112.781370259667</v>
      </c>
      <c r="N14" s="107">
        <f>'附件2 经营性净现金流利润编制明细2026415'!L5-'附件2 经营性净现金流利润编制明细2026415'!L15</f>
        <v>87.283018867924994</v>
      </c>
      <c r="O14" s="107">
        <f>'附件2 经营性净现金流利润编制明细2026415'!M5-'附件2 经营性净现金流利润编制明细2026415'!M15</f>
        <v>117.283018867924</v>
      </c>
      <c r="P14" s="107">
        <f>'附件2 经营性净现金流利润编制明细2026415'!N5-'附件2 经营性净现金流利润编制明细2026415'!N15</f>
        <v>117.283018867924</v>
      </c>
      <c r="Q14" s="107">
        <f>'附件2 经营性净现金流利润编制明细2026415'!O5-'附件2 经营性净现金流利润编制明细2026415'!O15</f>
        <v>122.77358490566101</v>
      </c>
      <c r="R14" s="107">
        <f>'附件2 经营性净现金流利润编制明细2026415'!P5-'附件2 经营性净现金流利润编制明细2026415'!P15</f>
        <v>122.77358490566101</v>
      </c>
      <c r="S14" s="107">
        <f>'附件2 经营性净现金流利润编制明细2026415'!Q5-'附件2 经营性净现金流利润编制明细2026415'!Q15</f>
        <v>122.77358490566101</v>
      </c>
      <c r="T14" s="8">
        <f t="shared" si="0"/>
        <v>-5.0022208597511053E-12</v>
      </c>
    </row>
    <row r="15" spans="2:20" ht="39.5" thickBot="1" x14ac:dyDescent="0.35">
      <c r="B15" s="96">
        <v>11</v>
      </c>
      <c r="C15" s="96" t="str">
        <f>经营目标!D14</f>
        <v>任务类指标</v>
      </c>
      <c r="D15" s="96" t="str">
        <f>经营目标!E14</f>
        <v>关注</v>
      </c>
      <c r="E15" s="102" t="str">
        <f>经营目标!F14</f>
        <v>OPC 生态打造与影响力建设</v>
      </c>
      <c r="F15" s="96" t="str">
        <f>经营目标!I14</f>
        <v>/</v>
      </c>
      <c r="G15" s="129" t="str">
        <f>经营目标!J14</f>
        <v>/</v>
      </c>
      <c r="H15" s="107"/>
      <c r="I15" s="107"/>
      <c r="J15" s="107"/>
      <c r="K15" s="130" t="s">
        <v>179</v>
      </c>
      <c r="L15" s="107"/>
      <c r="M15" s="130" t="s">
        <v>180</v>
      </c>
      <c r="N15" s="107"/>
      <c r="O15" s="107"/>
      <c r="P15" s="130" t="s">
        <v>181</v>
      </c>
      <c r="Q15" s="107"/>
      <c r="R15" s="107"/>
      <c r="S15" s="130" t="s">
        <v>182</v>
      </c>
      <c r="T15" s="8" t="e">
        <f t="shared" ref="T15:T16" si="1">G15-SUM(H15:S15)</f>
        <v>#VALUE!</v>
      </c>
    </row>
    <row r="16" spans="2:20" ht="14.5" thickBot="1" x14ac:dyDescent="0.35">
      <c r="B16" s="96">
        <v>12</v>
      </c>
      <c r="C16" s="96" t="str">
        <f>经营目标!D15</f>
        <v>任务类指标</v>
      </c>
      <c r="D16" s="96" t="str">
        <f>经营目标!E15</f>
        <v>关注</v>
      </c>
      <c r="E16" s="102" t="str">
        <f>经营目标!F15</f>
        <v>生态联盟年度新增签约</v>
      </c>
      <c r="F16" s="96" t="str">
        <f>经营目标!I15</f>
        <v>家</v>
      </c>
      <c r="G16" s="127">
        <f>经营目标!M15</f>
        <v>4</v>
      </c>
      <c r="H16" s="128"/>
      <c r="I16" s="128"/>
      <c r="J16" s="128"/>
      <c r="K16" s="128"/>
      <c r="L16" s="128"/>
      <c r="M16" s="128">
        <v>1</v>
      </c>
      <c r="N16" s="128"/>
      <c r="O16" s="128"/>
      <c r="P16" s="128">
        <v>1</v>
      </c>
      <c r="Q16" s="128"/>
      <c r="R16" s="128"/>
      <c r="S16" s="128">
        <v>2</v>
      </c>
      <c r="T16" s="8">
        <f t="shared" si="1"/>
        <v>0</v>
      </c>
    </row>
  </sheetData>
  <mergeCells count="8">
    <mergeCell ref="B2:S2"/>
    <mergeCell ref="H3:S3"/>
    <mergeCell ref="B3:B4"/>
    <mergeCell ref="C3:C4"/>
    <mergeCell ref="D3:D4"/>
    <mergeCell ref="E3:E4"/>
    <mergeCell ref="F3:F4"/>
    <mergeCell ref="G3:G4"/>
  </mergeCells>
  <phoneticPr fontId="24"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VS65"/>
  <sheetViews>
    <sheetView showGridLines="0" zoomScale="80" zoomScaleNormal="80" workbookViewId="0">
      <selection activeCell="T12" sqref="T12:AG26"/>
    </sheetView>
  </sheetViews>
  <sheetFormatPr defaultColWidth="8.1640625" defaultRowHeight="14" x14ac:dyDescent="0.3"/>
  <cols>
    <col min="1" max="1" width="5.33203125" style="59" customWidth="1"/>
    <col min="2" max="2" width="7.1640625" style="60" customWidth="1"/>
    <col min="3" max="3" width="21.58203125" style="61" customWidth="1"/>
    <col min="4" max="4" width="8.4140625" style="62" customWidth="1"/>
    <col min="5" max="5" width="17.33203125" style="63" customWidth="1"/>
    <col min="6" max="15" width="10.08203125" style="61" customWidth="1"/>
    <col min="16" max="16" width="10.75" style="61" customWidth="1"/>
    <col min="17" max="17" width="10.08203125" style="61" customWidth="1"/>
    <col min="18" max="18" width="21.58203125" style="61" customWidth="1"/>
    <col min="19" max="19" width="9" style="59" customWidth="1"/>
    <col min="20" max="20" width="13.6640625" style="61" customWidth="1"/>
    <col min="21" max="32" width="6.83203125" style="61" customWidth="1"/>
    <col min="33" max="33" width="14.08203125" style="61"/>
    <col min="34" max="256" width="8.1640625" style="61"/>
    <col min="257" max="257" width="5.33203125" style="61" customWidth="1"/>
    <col min="258" max="258" width="7.1640625" style="61" customWidth="1"/>
    <col min="259" max="259" width="21.58203125" style="61" customWidth="1"/>
    <col min="260" max="260" width="8.4140625" style="61" customWidth="1"/>
    <col min="261" max="261" width="17.33203125" style="61" customWidth="1"/>
    <col min="262" max="267" width="8.1640625" style="61" hidden="1" customWidth="1"/>
    <col min="268" max="273" width="10.08203125" style="61" customWidth="1"/>
    <col min="274" max="274" width="21.58203125" style="61" customWidth="1"/>
    <col min="275" max="275" width="9" style="61" customWidth="1"/>
    <col min="276" max="276" width="13.6640625" style="61" customWidth="1"/>
    <col min="277" max="288" width="9" style="61" customWidth="1"/>
    <col min="289" max="512" width="8.1640625" style="61"/>
    <col min="513" max="513" width="5.33203125" style="61" customWidth="1"/>
    <col min="514" max="514" width="7.1640625" style="61" customWidth="1"/>
    <col min="515" max="515" width="21.58203125" style="61" customWidth="1"/>
    <col min="516" max="516" width="8.4140625" style="61" customWidth="1"/>
    <col min="517" max="517" width="17.33203125" style="61" customWidth="1"/>
    <col min="518" max="523" width="8.1640625" style="61" hidden="1" customWidth="1"/>
    <col min="524" max="529" width="10.08203125" style="61" customWidth="1"/>
    <col min="530" max="530" width="21.58203125" style="61" customWidth="1"/>
    <col min="531" max="531" width="9" style="61" customWidth="1"/>
    <col min="532" max="532" width="13.6640625" style="61" customWidth="1"/>
    <col min="533" max="544" width="9" style="61" customWidth="1"/>
    <col min="545" max="768" width="8.1640625" style="61"/>
    <col min="769" max="769" width="5.33203125" style="61" customWidth="1"/>
    <col min="770" max="770" width="7.1640625" style="61" customWidth="1"/>
    <col min="771" max="771" width="21.58203125" style="61" customWidth="1"/>
    <col min="772" max="772" width="8.4140625" style="61" customWidth="1"/>
    <col min="773" max="773" width="17.33203125" style="61" customWidth="1"/>
    <col min="774" max="779" width="8.1640625" style="61" hidden="1" customWidth="1"/>
    <col min="780" max="785" width="10.08203125" style="61" customWidth="1"/>
    <col min="786" max="786" width="21.58203125" style="61" customWidth="1"/>
    <col min="787" max="787" width="9" style="61" customWidth="1"/>
    <col min="788" max="788" width="13.6640625" style="61" customWidth="1"/>
    <col min="789" max="800" width="9" style="61" customWidth="1"/>
    <col min="801" max="1024" width="8.1640625" style="61"/>
    <col min="1025" max="1025" width="5.33203125" style="61" customWidth="1"/>
    <col min="1026" max="1026" width="7.1640625" style="61" customWidth="1"/>
    <col min="1027" max="1027" width="21.58203125" style="61" customWidth="1"/>
    <col min="1028" max="1028" width="8.4140625" style="61" customWidth="1"/>
    <col min="1029" max="1029" width="17.33203125" style="61" customWidth="1"/>
    <col min="1030" max="1035" width="8.1640625" style="61" hidden="1" customWidth="1"/>
    <col min="1036" max="1041" width="10.08203125" style="61" customWidth="1"/>
    <col min="1042" max="1042" width="21.58203125" style="61" customWidth="1"/>
    <col min="1043" max="1043" width="9" style="61" customWidth="1"/>
    <col min="1044" max="1044" width="13.6640625" style="61" customWidth="1"/>
    <col min="1045" max="1056" width="9" style="61" customWidth="1"/>
    <col min="1057" max="1280" width="8.1640625" style="61"/>
    <col min="1281" max="1281" width="5.33203125" style="61" customWidth="1"/>
    <col min="1282" max="1282" width="7.1640625" style="61" customWidth="1"/>
    <col min="1283" max="1283" width="21.58203125" style="61" customWidth="1"/>
    <col min="1284" max="1284" width="8.4140625" style="61" customWidth="1"/>
    <col min="1285" max="1285" width="17.33203125" style="61" customWidth="1"/>
    <col min="1286" max="1291" width="8.1640625" style="61" hidden="1" customWidth="1"/>
    <col min="1292" max="1297" width="10.08203125" style="61" customWidth="1"/>
    <col min="1298" max="1298" width="21.58203125" style="61" customWidth="1"/>
    <col min="1299" max="1299" width="9" style="61" customWidth="1"/>
    <col min="1300" max="1300" width="13.6640625" style="61" customWidth="1"/>
    <col min="1301" max="1312" width="9" style="61" customWidth="1"/>
    <col min="1313" max="1536" width="8.1640625" style="61"/>
    <col min="1537" max="1537" width="5.33203125" style="61" customWidth="1"/>
    <col min="1538" max="1538" width="7.1640625" style="61" customWidth="1"/>
    <col min="1539" max="1539" width="21.58203125" style="61" customWidth="1"/>
    <col min="1540" max="1540" width="8.4140625" style="61" customWidth="1"/>
    <col min="1541" max="1541" width="17.33203125" style="61" customWidth="1"/>
    <col min="1542" max="1547" width="8.1640625" style="61" hidden="1" customWidth="1"/>
    <col min="1548" max="1553" width="10.08203125" style="61" customWidth="1"/>
    <col min="1554" max="1554" width="21.58203125" style="61" customWidth="1"/>
    <col min="1555" max="1555" width="9" style="61" customWidth="1"/>
    <col min="1556" max="1556" width="13.6640625" style="61" customWidth="1"/>
    <col min="1557" max="1568" width="9" style="61" customWidth="1"/>
    <col min="1569" max="1792" width="8.1640625" style="61"/>
    <col min="1793" max="1793" width="5.33203125" style="61" customWidth="1"/>
    <col min="1794" max="1794" width="7.1640625" style="61" customWidth="1"/>
    <col min="1795" max="1795" width="21.58203125" style="61" customWidth="1"/>
    <col min="1796" max="1796" width="8.4140625" style="61" customWidth="1"/>
    <col min="1797" max="1797" width="17.33203125" style="61" customWidth="1"/>
    <col min="1798" max="1803" width="8.1640625" style="61" hidden="1" customWidth="1"/>
    <col min="1804" max="1809" width="10.08203125" style="61" customWidth="1"/>
    <col min="1810" max="1810" width="21.58203125" style="61" customWidth="1"/>
    <col min="1811" max="1811" width="9" style="61" customWidth="1"/>
    <col min="1812" max="1812" width="13.6640625" style="61" customWidth="1"/>
    <col min="1813" max="1824" width="9" style="61" customWidth="1"/>
    <col min="1825" max="2048" width="8.1640625" style="61"/>
    <col min="2049" max="2049" width="5.33203125" style="61" customWidth="1"/>
    <col min="2050" max="2050" width="7.1640625" style="61" customWidth="1"/>
    <col min="2051" max="2051" width="21.58203125" style="61" customWidth="1"/>
    <col min="2052" max="2052" width="8.4140625" style="61" customWidth="1"/>
    <col min="2053" max="2053" width="17.33203125" style="61" customWidth="1"/>
    <col min="2054" max="2059" width="8.1640625" style="61" hidden="1" customWidth="1"/>
    <col min="2060" max="2065" width="10.08203125" style="61" customWidth="1"/>
    <col min="2066" max="2066" width="21.58203125" style="61" customWidth="1"/>
    <col min="2067" max="2067" width="9" style="61" customWidth="1"/>
    <col min="2068" max="2068" width="13.6640625" style="61" customWidth="1"/>
    <col min="2069" max="2080" width="9" style="61" customWidth="1"/>
    <col min="2081" max="2304" width="8.1640625" style="61"/>
    <col min="2305" max="2305" width="5.33203125" style="61" customWidth="1"/>
    <col min="2306" max="2306" width="7.1640625" style="61" customWidth="1"/>
    <col min="2307" max="2307" width="21.58203125" style="61" customWidth="1"/>
    <col min="2308" max="2308" width="8.4140625" style="61" customWidth="1"/>
    <col min="2309" max="2309" width="17.33203125" style="61" customWidth="1"/>
    <col min="2310" max="2315" width="8.1640625" style="61" hidden="1" customWidth="1"/>
    <col min="2316" max="2321" width="10.08203125" style="61" customWidth="1"/>
    <col min="2322" max="2322" width="21.58203125" style="61" customWidth="1"/>
    <col min="2323" max="2323" width="9" style="61" customWidth="1"/>
    <col min="2324" max="2324" width="13.6640625" style="61" customWidth="1"/>
    <col min="2325" max="2336" width="9" style="61" customWidth="1"/>
    <col min="2337" max="2560" width="8.1640625" style="61"/>
    <col min="2561" max="2561" width="5.33203125" style="61" customWidth="1"/>
    <col min="2562" max="2562" width="7.1640625" style="61" customWidth="1"/>
    <col min="2563" max="2563" width="21.58203125" style="61" customWidth="1"/>
    <col min="2564" max="2564" width="8.4140625" style="61" customWidth="1"/>
    <col min="2565" max="2565" width="17.33203125" style="61" customWidth="1"/>
    <col min="2566" max="2571" width="8.1640625" style="61" hidden="1" customWidth="1"/>
    <col min="2572" max="2577" width="10.08203125" style="61" customWidth="1"/>
    <col min="2578" max="2578" width="21.58203125" style="61" customWidth="1"/>
    <col min="2579" max="2579" width="9" style="61" customWidth="1"/>
    <col min="2580" max="2580" width="13.6640625" style="61" customWidth="1"/>
    <col min="2581" max="2592" width="9" style="61" customWidth="1"/>
    <col min="2593" max="2816" width="8.1640625" style="61"/>
    <col min="2817" max="2817" width="5.33203125" style="61" customWidth="1"/>
    <col min="2818" max="2818" width="7.1640625" style="61" customWidth="1"/>
    <col min="2819" max="2819" width="21.58203125" style="61" customWidth="1"/>
    <col min="2820" max="2820" width="8.4140625" style="61" customWidth="1"/>
    <col min="2821" max="2821" width="17.33203125" style="61" customWidth="1"/>
    <col min="2822" max="2827" width="8.1640625" style="61" hidden="1" customWidth="1"/>
    <col min="2828" max="2833" width="10.08203125" style="61" customWidth="1"/>
    <col min="2834" max="2834" width="21.58203125" style="61" customWidth="1"/>
    <col min="2835" max="2835" width="9" style="61" customWidth="1"/>
    <col min="2836" max="2836" width="13.6640625" style="61" customWidth="1"/>
    <col min="2837" max="2848" width="9" style="61" customWidth="1"/>
    <col min="2849" max="3072" width="8.1640625" style="61"/>
    <col min="3073" max="3073" width="5.33203125" style="61" customWidth="1"/>
    <col min="3074" max="3074" width="7.1640625" style="61" customWidth="1"/>
    <col min="3075" max="3075" width="21.58203125" style="61" customWidth="1"/>
    <col min="3076" max="3076" width="8.4140625" style="61" customWidth="1"/>
    <col min="3077" max="3077" width="17.33203125" style="61" customWidth="1"/>
    <col min="3078" max="3083" width="8.1640625" style="61" hidden="1" customWidth="1"/>
    <col min="3084" max="3089" width="10.08203125" style="61" customWidth="1"/>
    <col min="3090" max="3090" width="21.58203125" style="61" customWidth="1"/>
    <col min="3091" max="3091" width="9" style="61" customWidth="1"/>
    <col min="3092" max="3092" width="13.6640625" style="61" customWidth="1"/>
    <col min="3093" max="3104" width="9" style="61" customWidth="1"/>
    <col min="3105" max="3328" width="8.1640625" style="61"/>
    <col min="3329" max="3329" width="5.33203125" style="61" customWidth="1"/>
    <col min="3330" max="3330" width="7.1640625" style="61" customWidth="1"/>
    <col min="3331" max="3331" width="21.58203125" style="61" customWidth="1"/>
    <col min="3332" max="3332" width="8.4140625" style="61" customWidth="1"/>
    <col min="3333" max="3333" width="17.33203125" style="61" customWidth="1"/>
    <col min="3334" max="3339" width="8.1640625" style="61" hidden="1" customWidth="1"/>
    <col min="3340" max="3345" width="10.08203125" style="61" customWidth="1"/>
    <col min="3346" max="3346" width="21.58203125" style="61" customWidth="1"/>
    <col min="3347" max="3347" width="9" style="61" customWidth="1"/>
    <col min="3348" max="3348" width="13.6640625" style="61" customWidth="1"/>
    <col min="3349" max="3360" width="9" style="61" customWidth="1"/>
    <col min="3361" max="3584" width="8.1640625" style="61"/>
    <col min="3585" max="3585" width="5.33203125" style="61" customWidth="1"/>
    <col min="3586" max="3586" width="7.1640625" style="61" customWidth="1"/>
    <col min="3587" max="3587" width="21.58203125" style="61" customWidth="1"/>
    <col min="3588" max="3588" width="8.4140625" style="61" customWidth="1"/>
    <col min="3589" max="3589" width="17.33203125" style="61" customWidth="1"/>
    <col min="3590" max="3595" width="8.1640625" style="61" hidden="1" customWidth="1"/>
    <col min="3596" max="3601" width="10.08203125" style="61" customWidth="1"/>
    <col min="3602" max="3602" width="21.58203125" style="61" customWidth="1"/>
    <col min="3603" max="3603" width="9" style="61" customWidth="1"/>
    <col min="3604" max="3604" width="13.6640625" style="61" customWidth="1"/>
    <col min="3605" max="3616" width="9" style="61" customWidth="1"/>
    <col min="3617" max="3840" width="8.1640625" style="61"/>
    <col min="3841" max="3841" width="5.33203125" style="61" customWidth="1"/>
    <col min="3842" max="3842" width="7.1640625" style="61" customWidth="1"/>
    <col min="3843" max="3843" width="21.58203125" style="61" customWidth="1"/>
    <col min="3844" max="3844" width="8.4140625" style="61" customWidth="1"/>
    <col min="3845" max="3845" width="17.33203125" style="61" customWidth="1"/>
    <col min="3846" max="3851" width="8.1640625" style="61" hidden="1" customWidth="1"/>
    <col min="3852" max="3857" width="10.08203125" style="61" customWidth="1"/>
    <col min="3858" max="3858" width="21.58203125" style="61" customWidth="1"/>
    <col min="3859" max="3859" width="9" style="61" customWidth="1"/>
    <col min="3860" max="3860" width="13.6640625" style="61" customWidth="1"/>
    <col min="3861" max="3872" width="9" style="61" customWidth="1"/>
    <col min="3873" max="4096" width="8.1640625" style="61"/>
    <col min="4097" max="4097" width="5.33203125" style="61" customWidth="1"/>
    <col min="4098" max="4098" width="7.1640625" style="61" customWidth="1"/>
    <col min="4099" max="4099" width="21.58203125" style="61" customWidth="1"/>
    <col min="4100" max="4100" width="8.4140625" style="61" customWidth="1"/>
    <col min="4101" max="4101" width="17.33203125" style="61" customWidth="1"/>
    <col min="4102" max="4107" width="8.1640625" style="61" hidden="1" customWidth="1"/>
    <col min="4108" max="4113" width="10.08203125" style="61" customWidth="1"/>
    <col min="4114" max="4114" width="21.58203125" style="61" customWidth="1"/>
    <col min="4115" max="4115" width="9" style="61" customWidth="1"/>
    <col min="4116" max="4116" width="13.6640625" style="61" customWidth="1"/>
    <col min="4117" max="4128" width="9" style="61" customWidth="1"/>
    <col min="4129" max="4352" width="8.1640625" style="61"/>
    <col min="4353" max="4353" width="5.33203125" style="61" customWidth="1"/>
    <col min="4354" max="4354" width="7.1640625" style="61" customWidth="1"/>
    <col min="4355" max="4355" width="21.58203125" style="61" customWidth="1"/>
    <col min="4356" max="4356" width="8.4140625" style="61" customWidth="1"/>
    <col min="4357" max="4357" width="17.33203125" style="61" customWidth="1"/>
    <col min="4358" max="4363" width="8.1640625" style="61" hidden="1" customWidth="1"/>
    <col min="4364" max="4369" width="10.08203125" style="61" customWidth="1"/>
    <col min="4370" max="4370" width="21.58203125" style="61" customWidth="1"/>
    <col min="4371" max="4371" width="9" style="61" customWidth="1"/>
    <col min="4372" max="4372" width="13.6640625" style="61" customWidth="1"/>
    <col min="4373" max="4384" width="9" style="61" customWidth="1"/>
    <col min="4385" max="4608" width="8.1640625" style="61"/>
    <col min="4609" max="4609" width="5.33203125" style="61" customWidth="1"/>
    <col min="4610" max="4610" width="7.1640625" style="61" customWidth="1"/>
    <col min="4611" max="4611" width="21.58203125" style="61" customWidth="1"/>
    <col min="4612" max="4612" width="8.4140625" style="61" customWidth="1"/>
    <col min="4613" max="4613" width="17.33203125" style="61" customWidth="1"/>
    <col min="4614" max="4619" width="8.1640625" style="61" hidden="1" customWidth="1"/>
    <col min="4620" max="4625" width="10.08203125" style="61" customWidth="1"/>
    <col min="4626" max="4626" width="21.58203125" style="61" customWidth="1"/>
    <col min="4627" max="4627" width="9" style="61" customWidth="1"/>
    <col min="4628" max="4628" width="13.6640625" style="61" customWidth="1"/>
    <col min="4629" max="4640" width="9" style="61" customWidth="1"/>
    <col min="4641" max="4864" width="8.1640625" style="61"/>
    <col min="4865" max="4865" width="5.33203125" style="61" customWidth="1"/>
    <col min="4866" max="4866" width="7.1640625" style="61" customWidth="1"/>
    <col min="4867" max="4867" width="21.58203125" style="61" customWidth="1"/>
    <col min="4868" max="4868" width="8.4140625" style="61" customWidth="1"/>
    <col min="4869" max="4869" width="17.33203125" style="61" customWidth="1"/>
    <col min="4870" max="4875" width="8.1640625" style="61" hidden="1" customWidth="1"/>
    <col min="4876" max="4881" width="10.08203125" style="61" customWidth="1"/>
    <col min="4882" max="4882" width="21.58203125" style="61" customWidth="1"/>
    <col min="4883" max="4883" width="9" style="61" customWidth="1"/>
    <col min="4884" max="4884" width="13.6640625" style="61" customWidth="1"/>
    <col min="4885" max="4896" width="9" style="61" customWidth="1"/>
    <col min="4897" max="5120" width="8.1640625" style="61"/>
    <col min="5121" max="5121" width="5.33203125" style="61" customWidth="1"/>
    <col min="5122" max="5122" width="7.1640625" style="61" customWidth="1"/>
    <col min="5123" max="5123" width="21.58203125" style="61" customWidth="1"/>
    <col min="5124" max="5124" width="8.4140625" style="61" customWidth="1"/>
    <col min="5125" max="5125" width="17.33203125" style="61" customWidth="1"/>
    <col min="5126" max="5131" width="8.1640625" style="61" hidden="1" customWidth="1"/>
    <col min="5132" max="5137" width="10.08203125" style="61" customWidth="1"/>
    <col min="5138" max="5138" width="21.58203125" style="61" customWidth="1"/>
    <col min="5139" max="5139" width="9" style="61" customWidth="1"/>
    <col min="5140" max="5140" width="13.6640625" style="61" customWidth="1"/>
    <col min="5141" max="5152" width="9" style="61" customWidth="1"/>
    <col min="5153" max="5376" width="8.1640625" style="61"/>
    <col min="5377" max="5377" width="5.33203125" style="61" customWidth="1"/>
    <col min="5378" max="5378" width="7.1640625" style="61" customWidth="1"/>
    <col min="5379" max="5379" width="21.58203125" style="61" customWidth="1"/>
    <col min="5380" max="5380" width="8.4140625" style="61" customWidth="1"/>
    <col min="5381" max="5381" width="17.33203125" style="61" customWidth="1"/>
    <col min="5382" max="5387" width="8.1640625" style="61" hidden="1" customWidth="1"/>
    <col min="5388" max="5393" width="10.08203125" style="61" customWidth="1"/>
    <col min="5394" max="5394" width="21.58203125" style="61" customWidth="1"/>
    <col min="5395" max="5395" width="9" style="61" customWidth="1"/>
    <col min="5396" max="5396" width="13.6640625" style="61" customWidth="1"/>
    <col min="5397" max="5408" width="9" style="61" customWidth="1"/>
    <col min="5409" max="5632" width="8.1640625" style="61"/>
    <col min="5633" max="5633" width="5.33203125" style="61" customWidth="1"/>
    <col min="5634" max="5634" width="7.1640625" style="61" customWidth="1"/>
    <col min="5635" max="5635" width="21.58203125" style="61" customWidth="1"/>
    <col min="5636" max="5636" width="8.4140625" style="61" customWidth="1"/>
    <col min="5637" max="5637" width="17.33203125" style="61" customWidth="1"/>
    <col min="5638" max="5643" width="8.1640625" style="61" hidden="1" customWidth="1"/>
    <col min="5644" max="5649" width="10.08203125" style="61" customWidth="1"/>
    <col min="5650" max="5650" width="21.58203125" style="61" customWidth="1"/>
    <col min="5651" max="5651" width="9" style="61" customWidth="1"/>
    <col min="5652" max="5652" width="13.6640625" style="61" customWidth="1"/>
    <col min="5653" max="5664" width="9" style="61" customWidth="1"/>
    <col min="5665" max="5888" width="8.1640625" style="61"/>
    <col min="5889" max="5889" width="5.33203125" style="61" customWidth="1"/>
    <col min="5890" max="5890" width="7.1640625" style="61" customWidth="1"/>
    <col min="5891" max="5891" width="21.58203125" style="61" customWidth="1"/>
    <col min="5892" max="5892" width="8.4140625" style="61" customWidth="1"/>
    <col min="5893" max="5893" width="17.33203125" style="61" customWidth="1"/>
    <col min="5894" max="5899" width="8.1640625" style="61" hidden="1" customWidth="1"/>
    <col min="5900" max="5905" width="10.08203125" style="61" customWidth="1"/>
    <col min="5906" max="5906" width="21.58203125" style="61" customWidth="1"/>
    <col min="5907" max="5907" width="9" style="61" customWidth="1"/>
    <col min="5908" max="5908" width="13.6640625" style="61" customWidth="1"/>
    <col min="5909" max="5920" width="9" style="61" customWidth="1"/>
    <col min="5921" max="6144" width="8.1640625" style="61"/>
    <col min="6145" max="6145" width="5.33203125" style="61" customWidth="1"/>
    <col min="6146" max="6146" width="7.1640625" style="61" customWidth="1"/>
    <col min="6147" max="6147" width="21.58203125" style="61" customWidth="1"/>
    <col min="6148" max="6148" width="8.4140625" style="61" customWidth="1"/>
    <col min="6149" max="6149" width="17.33203125" style="61" customWidth="1"/>
    <col min="6150" max="6155" width="8.1640625" style="61" hidden="1" customWidth="1"/>
    <col min="6156" max="6161" width="10.08203125" style="61" customWidth="1"/>
    <col min="6162" max="6162" width="21.58203125" style="61" customWidth="1"/>
    <col min="6163" max="6163" width="9" style="61" customWidth="1"/>
    <col min="6164" max="6164" width="13.6640625" style="61" customWidth="1"/>
    <col min="6165" max="6176" width="9" style="61" customWidth="1"/>
    <col min="6177" max="6400" width="8.1640625" style="61"/>
    <col min="6401" max="6401" width="5.33203125" style="61" customWidth="1"/>
    <col min="6402" max="6402" width="7.1640625" style="61" customWidth="1"/>
    <col min="6403" max="6403" width="21.58203125" style="61" customWidth="1"/>
    <col min="6404" max="6404" width="8.4140625" style="61" customWidth="1"/>
    <col min="6405" max="6405" width="17.33203125" style="61" customWidth="1"/>
    <col min="6406" max="6411" width="8.1640625" style="61" hidden="1" customWidth="1"/>
    <col min="6412" max="6417" width="10.08203125" style="61" customWidth="1"/>
    <col min="6418" max="6418" width="21.58203125" style="61" customWidth="1"/>
    <col min="6419" max="6419" width="9" style="61" customWidth="1"/>
    <col min="6420" max="6420" width="13.6640625" style="61" customWidth="1"/>
    <col min="6421" max="6432" width="9" style="61" customWidth="1"/>
    <col min="6433" max="6656" width="8.1640625" style="61"/>
    <col min="6657" max="6657" width="5.33203125" style="61" customWidth="1"/>
    <col min="6658" max="6658" width="7.1640625" style="61" customWidth="1"/>
    <col min="6659" max="6659" width="21.58203125" style="61" customWidth="1"/>
    <col min="6660" max="6660" width="8.4140625" style="61" customWidth="1"/>
    <col min="6661" max="6661" width="17.33203125" style="61" customWidth="1"/>
    <col min="6662" max="6667" width="8.1640625" style="61" hidden="1" customWidth="1"/>
    <col min="6668" max="6673" width="10.08203125" style="61" customWidth="1"/>
    <col min="6674" max="6674" width="21.58203125" style="61" customWidth="1"/>
    <col min="6675" max="6675" width="9" style="61" customWidth="1"/>
    <col min="6676" max="6676" width="13.6640625" style="61" customWidth="1"/>
    <col min="6677" max="6688" width="9" style="61" customWidth="1"/>
    <col min="6689" max="6912" width="8.1640625" style="61"/>
    <col min="6913" max="6913" width="5.33203125" style="61" customWidth="1"/>
    <col min="6914" max="6914" width="7.1640625" style="61" customWidth="1"/>
    <col min="6915" max="6915" width="21.58203125" style="61" customWidth="1"/>
    <col min="6916" max="6916" width="8.4140625" style="61" customWidth="1"/>
    <col min="6917" max="6917" width="17.33203125" style="61" customWidth="1"/>
    <col min="6918" max="6923" width="8.1640625" style="61" hidden="1" customWidth="1"/>
    <col min="6924" max="6929" width="10.08203125" style="61" customWidth="1"/>
    <col min="6930" max="6930" width="21.58203125" style="61" customWidth="1"/>
    <col min="6931" max="6931" width="9" style="61" customWidth="1"/>
    <col min="6932" max="6932" width="13.6640625" style="61" customWidth="1"/>
    <col min="6933" max="6944" width="9" style="61" customWidth="1"/>
    <col min="6945" max="7168" width="8.1640625" style="61"/>
    <col min="7169" max="7169" width="5.33203125" style="61" customWidth="1"/>
    <col min="7170" max="7170" width="7.1640625" style="61" customWidth="1"/>
    <col min="7171" max="7171" width="21.58203125" style="61" customWidth="1"/>
    <col min="7172" max="7172" width="8.4140625" style="61" customWidth="1"/>
    <col min="7173" max="7173" width="17.33203125" style="61" customWidth="1"/>
    <col min="7174" max="7179" width="8.1640625" style="61" hidden="1" customWidth="1"/>
    <col min="7180" max="7185" width="10.08203125" style="61" customWidth="1"/>
    <col min="7186" max="7186" width="21.58203125" style="61" customWidth="1"/>
    <col min="7187" max="7187" width="9" style="61" customWidth="1"/>
    <col min="7188" max="7188" width="13.6640625" style="61" customWidth="1"/>
    <col min="7189" max="7200" width="9" style="61" customWidth="1"/>
    <col min="7201" max="7424" width="8.1640625" style="61"/>
    <col min="7425" max="7425" width="5.33203125" style="61" customWidth="1"/>
    <col min="7426" max="7426" width="7.1640625" style="61" customWidth="1"/>
    <col min="7427" max="7427" width="21.58203125" style="61" customWidth="1"/>
    <col min="7428" max="7428" width="8.4140625" style="61" customWidth="1"/>
    <col min="7429" max="7429" width="17.33203125" style="61" customWidth="1"/>
    <col min="7430" max="7435" width="8.1640625" style="61" hidden="1" customWidth="1"/>
    <col min="7436" max="7441" width="10.08203125" style="61" customWidth="1"/>
    <col min="7442" max="7442" width="21.58203125" style="61" customWidth="1"/>
    <col min="7443" max="7443" width="9" style="61" customWidth="1"/>
    <col min="7444" max="7444" width="13.6640625" style="61" customWidth="1"/>
    <col min="7445" max="7456" width="9" style="61" customWidth="1"/>
    <col min="7457" max="7680" width="8.1640625" style="61"/>
    <col min="7681" max="7681" width="5.33203125" style="61" customWidth="1"/>
    <col min="7682" max="7682" width="7.1640625" style="61" customWidth="1"/>
    <col min="7683" max="7683" width="21.58203125" style="61" customWidth="1"/>
    <col min="7684" max="7684" width="8.4140625" style="61" customWidth="1"/>
    <col min="7685" max="7685" width="17.33203125" style="61" customWidth="1"/>
    <col min="7686" max="7691" width="8.1640625" style="61" hidden="1" customWidth="1"/>
    <col min="7692" max="7697" width="10.08203125" style="61" customWidth="1"/>
    <col min="7698" max="7698" width="21.58203125" style="61" customWidth="1"/>
    <col min="7699" max="7699" width="9" style="61" customWidth="1"/>
    <col min="7700" max="7700" width="13.6640625" style="61" customWidth="1"/>
    <col min="7701" max="7712" width="9" style="61" customWidth="1"/>
    <col min="7713" max="7936" width="8.1640625" style="61"/>
    <col min="7937" max="7937" width="5.33203125" style="61" customWidth="1"/>
    <col min="7938" max="7938" width="7.1640625" style="61" customWidth="1"/>
    <col min="7939" max="7939" width="21.58203125" style="61" customWidth="1"/>
    <col min="7940" max="7940" width="8.4140625" style="61" customWidth="1"/>
    <col min="7941" max="7941" width="17.33203125" style="61" customWidth="1"/>
    <col min="7942" max="7947" width="8.1640625" style="61" hidden="1" customWidth="1"/>
    <col min="7948" max="7953" width="10.08203125" style="61" customWidth="1"/>
    <col min="7954" max="7954" width="21.58203125" style="61" customWidth="1"/>
    <col min="7955" max="7955" width="9" style="61" customWidth="1"/>
    <col min="7956" max="7956" width="13.6640625" style="61" customWidth="1"/>
    <col min="7957" max="7968" width="9" style="61" customWidth="1"/>
    <col min="7969" max="8192" width="8.1640625" style="61"/>
    <col min="8193" max="8193" width="5.33203125" style="61" customWidth="1"/>
    <col min="8194" max="8194" width="7.1640625" style="61" customWidth="1"/>
    <col min="8195" max="8195" width="21.58203125" style="61" customWidth="1"/>
    <col min="8196" max="8196" width="8.4140625" style="61" customWidth="1"/>
    <col min="8197" max="8197" width="17.33203125" style="61" customWidth="1"/>
    <col min="8198" max="8203" width="8.1640625" style="61" hidden="1" customWidth="1"/>
    <col min="8204" max="8209" width="10.08203125" style="61" customWidth="1"/>
    <col min="8210" max="8210" width="21.58203125" style="61" customWidth="1"/>
    <col min="8211" max="8211" width="9" style="61" customWidth="1"/>
    <col min="8212" max="8212" width="13.6640625" style="61" customWidth="1"/>
    <col min="8213" max="8224" width="9" style="61" customWidth="1"/>
    <col min="8225" max="8448" width="8.1640625" style="61"/>
    <col min="8449" max="8449" width="5.33203125" style="61" customWidth="1"/>
    <col min="8450" max="8450" width="7.1640625" style="61" customWidth="1"/>
    <col min="8451" max="8451" width="21.58203125" style="61" customWidth="1"/>
    <col min="8452" max="8452" width="8.4140625" style="61" customWidth="1"/>
    <col min="8453" max="8453" width="17.33203125" style="61" customWidth="1"/>
    <col min="8454" max="8459" width="8.1640625" style="61" hidden="1" customWidth="1"/>
    <col min="8460" max="8465" width="10.08203125" style="61" customWidth="1"/>
    <col min="8466" max="8466" width="21.58203125" style="61" customWidth="1"/>
    <col min="8467" max="8467" width="9" style="61" customWidth="1"/>
    <col min="8468" max="8468" width="13.6640625" style="61" customWidth="1"/>
    <col min="8469" max="8480" width="9" style="61" customWidth="1"/>
    <col min="8481" max="8704" width="8.1640625" style="61"/>
    <col min="8705" max="8705" width="5.33203125" style="61" customWidth="1"/>
    <col min="8706" max="8706" width="7.1640625" style="61" customWidth="1"/>
    <col min="8707" max="8707" width="21.58203125" style="61" customWidth="1"/>
    <col min="8708" max="8708" width="8.4140625" style="61" customWidth="1"/>
    <col min="8709" max="8709" width="17.33203125" style="61" customWidth="1"/>
    <col min="8710" max="8715" width="8.1640625" style="61" hidden="1" customWidth="1"/>
    <col min="8716" max="8721" width="10.08203125" style="61" customWidth="1"/>
    <col min="8722" max="8722" width="21.58203125" style="61" customWidth="1"/>
    <col min="8723" max="8723" width="9" style="61" customWidth="1"/>
    <col min="8724" max="8724" width="13.6640625" style="61" customWidth="1"/>
    <col min="8725" max="8736" width="9" style="61" customWidth="1"/>
    <col min="8737" max="8960" width="8.1640625" style="61"/>
    <col min="8961" max="8961" width="5.33203125" style="61" customWidth="1"/>
    <col min="8962" max="8962" width="7.1640625" style="61" customWidth="1"/>
    <col min="8963" max="8963" width="21.58203125" style="61" customWidth="1"/>
    <col min="8964" max="8964" width="8.4140625" style="61" customWidth="1"/>
    <col min="8965" max="8965" width="17.33203125" style="61" customWidth="1"/>
    <col min="8966" max="8971" width="8.1640625" style="61" hidden="1" customWidth="1"/>
    <col min="8972" max="8977" width="10.08203125" style="61" customWidth="1"/>
    <col min="8978" max="8978" width="21.58203125" style="61" customWidth="1"/>
    <col min="8979" max="8979" width="9" style="61" customWidth="1"/>
    <col min="8980" max="8980" width="13.6640625" style="61" customWidth="1"/>
    <col min="8981" max="8992" width="9" style="61" customWidth="1"/>
    <col min="8993" max="9216" width="8.1640625" style="61"/>
    <col min="9217" max="9217" width="5.33203125" style="61" customWidth="1"/>
    <col min="9218" max="9218" width="7.1640625" style="61" customWidth="1"/>
    <col min="9219" max="9219" width="21.58203125" style="61" customWidth="1"/>
    <col min="9220" max="9220" width="8.4140625" style="61" customWidth="1"/>
    <col min="9221" max="9221" width="17.33203125" style="61" customWidth="1"/>
    <col min="9222" max="9227" width="8.1640625" style="61" hidden="1" customWidth="1"/>
    <col min="9228" max="9233" width="10.08203125" style="61" customWidth="1"/>
    <col min="9234" max="9234" width="21.58203125" style="61" customWidth="1"/>
    <col min="9235" max="9235" width="9" style="61" customWidth="1"/>
    <col min="9236" max="9236" width="13.6640625" style="61" customWidth="1"/>
    <col min="9237" max="9248" width="9" style="61" customWidth="1"/>
    <col min="9249" max="9472" width="8.1640625" style="61"/>
    <col min="9473" max="9473" width="5.33203125" style="61" customWidth="1"/>
    <col min="9474" max="9474" width="7.1640625" style="61" customWidth="1"/>
    <col min="9475" max="9475" width="21.58203125" style="61" customWidth="1"/>
    <col min="9476" max="9476" width="8.4140625" style="61" customWidth="1"/>
    <col min="9477" max="9477" width="17.33203125" style="61" customWidth="1"/>
    <col min="9478" max="9483" width="8.1640625" style="61" hidden="1" customWidth="1"/>
    <col min="9484" max="9489" width="10.08203125" style="61" customWidth="1"/>
    <col min="9490" max="9490" width="21.58203125" style="61" customWidth="1"/>
    <col min="9491" max="9491" width="9" style="61" customWidth="1"/>
    <col min="9492" max="9492" width="13.6640625" style="61" customWidth="1"/>
    <col min="9493" max="9504" width="9" style="61" customWidth="1"/>
    <col min="9505" max="9728" width="8.1640625" style="61"/>
    <col min="9729" max="9729" width="5.33203125" style="61" customWidth="1"/>
    <col min="9730" max="9730" width="7.1640625" style="61" customWidth="1"/>
    <col min="9731" max="9731" width="21.58203125" style="61" customWidth="1"/>
    <col min="9732" max="9732" width="8.4140625" style="61" customWidth="1"/>
    <col min="9733" max="9733" width="17.33203125" style="61" customWidth="1"/>
    <col min="9734" max="9739" width="8.1640625" style="61" hidden="1" customWidth="1"/>
    <col min="9740" max="9745" width="10.08203125" style="61" customWidth="1"/>
    <col min="9746" max="9746" width="21.58203125" style="61" customWidth="1"/>
    <col min="9747" max="9747" width="9" style="61" customWidth="1"/>
    <col min="9748" max="9748" width="13.6640625" style="61" customWidth="1"/>
    <col min="9749" max="9760" width="9" style="61" customWidth="1"/>
    <col min="9761" max="9984" width="8.1640625" style="61"/>
    <col min="9985" max="9985" width="5.33203125" style="61" customWidth="1"/>
    <col min="9986" max="9986" width="7.1640625" style="61" customWidth="1"/>
    <col min="9987" max="9987" width="21.58203125" style="61" customWidth="1"/>
    <col min="9988" max="9988" width="8.4140625" style="61" customWidth="1"/>
    <col min="9989" max="9989" width="17.33203125" style="61" customWidth="1"/>
    <col min="9990" max="9995" width="8.1640625" style="61" hidden="1" customWidth="1"/>
    <col min="9996" max="10001" width="10.08203125" style="61" customWidth="1"/>
    <col min="10002" max="10002" width="21.58203125" style="61" customWidth="1"/>
    <col min="10003" max="10003" width="9" style="61" customWidth="1"/>
    <col min="10004" max="10004" width="13.6640625" style="61" customWidth="1"/>
    <col min="10005" max="10016" width="9" style="61" customWidth="1"/>
    <col min="10017" max="10240" width="8.1640625" style="61"/>
    <col min="10241" max="10241" width="5.33203125" style="61" customWidth="1"/>
    <col min="10242" max="10242" width="7.1640625" style="61" customWidth="1"/>
    <col min="10243" max="10243" width="21.58203125" style="61" customWidth="1"/>
    <col min="10244" max="10244" width="8.4140625" style="61" customWidth="1"/>
    <col min="10245" max="10245" width="17.33203125" style="61" customWidth="1"/>
    <col min="10246" max="10251" width="8.1640625" style="61" hidden="1" customWidth="1"/>
    <col min="10252" max="10257" width="10.08203125" style="61" customWidth="1"/>
    <col min="10258" max="10258" width="21.58203125" style="61" customWidth="1"/>
    <col min="10259" max="10259" width="9" style="61" customWidth="1"/>
    <col min="10260" max="10260" width="13.6640625" style="61" customWidth="1"/>
    <col min="10261" max="10272" width="9" style="61" customWidth="1"/>
    <col min="10273" max="10496" width="8.1640625" style="61"/>
    <col min="10497" max="10497" width="5.33203125" style="61" customWidth="1"/>
    <col min="10498" max="10498" width="7.1640625" style="61" customWidth="1"/>
    <col min="10499" max="10499" width="21.58203125" style="61" customWidth="1"/>
    <col min="10500" max="10500" width="8.4140625" style="61" customWidth="1"/>
    <col min="10501" max="10501" width="17.33203125" style="61" customWidth="1"/>
    <col min="10502" max="10507" width="8.1640625" style="61" hidden="1" customWidth="1"/>
    <col min="10508" max="10513" width="10.08203125" style="61" customWidth="1"/>
    <col min="10514" max="10514" width="21.58203125" style="61" customWidth="1"/>
    <col min="10515" max="10515" width="9" style="61" customWidth="1"/>
    <col min="10516" max="10516" width="13.6640625" style="61" customWidth="1"/>
    <col min="10517" max="10528" width="9" style="61" customWidth="1"/>
    <col min="10529" max="10752" width="8.1640625" style="61"/>
    <col min="10753" max="10753" width="5.33203125" style="61" customWidth="1"/>
    <col min="10754" max="10754" width="7.1640625" style="61" customWidth="1"/>
    <col min="10755" max="10755" width="21.58203125" style="61" customWidth="1"/>
    <col min="10756" max="10756" width="8.4140625" style="61" customWidth="1"/>
    <col min="10757" max="10757" width="17.33203125" style="61" customWidth="1"/>
    <col min="10758" max="10763" width="8.1640625" style="61" hidden="1" customWidth="1"/>
    <col min="10764" max="10769" width="10.08203125" style="61" customWidth="1"/>
    <col min="10770" max="10770" width="21.58203125" style="61" customWidth="1"/>
    <col min="10771" max="10771" width="9" style="61" customWidth="1"/>
    <col min="10772" max="10772" width="13.6640625" style="61" customWidth="1"/>
    <col min="10773" max="10784" width="9" style="61" customWidth="1"/>
    <col min="10785" max="11008" width="8.1640625" style="61"/>
    <col min="11009" max="11009" width="5.33203125" style="61" customWidth="1"/>
    <col min="11010" max="11010" width="7.1640625" style="61" customWidth="1"/>
    <col min="11011" max="11011" width="21.58203125" style="61" customWidth="1"/>
    <col min="11012" max="11012" width="8.4140625" style="61" customWidth="1"/>
    <col min="11013" max="11013" width="17.33203125" style="61" customWidth="1"/>
    <col min="11014" max="11019" width="8.1640625" style="61" hidden="1" customWidth="1"/>
    <col min="11020" max="11025" width="10.08203125" style="61" customWidth="1"/>
    <col min="11026" max="11026" width="21.58203125" style="61" customWidth="1"/>
    <col min="11027" max="11027" width="9" style="61" customWidth="1"/>
    <col min="11028" max="11028" width="13.6640625" style="61" customWidth="1"/>
    <col min="11029" max="11040" width="9" style="61" customWidth="1"/>
    <col min="11041" max="11264" width="8.1640625" style="61"/>
    <col min="11265" max="11265" width="5.33203125" style="61" customWidth="1"/>
    <col min="11266" max="11266" width="7.1640625" style="61" customWidth="1"/>
    <col min="11267" max="11267" width="21.58203125" style="61" customWidth="1"/>
    <col min="11268" max="11268" width="8.4140625" style="61" customWidth="1"/>
    <col min="11269" max="11269" width="17.33203125" style="61" customWidth="1"/>
    <col min="11270" max="11275" width="8.1640625" style="61" hidden="1" customWidth="1"/>
    <col min="11276" max="11281" width="10.08203125" style="61" customWidth="1"/>
    <col min="11282" max="11282" width="21.58203125" style="61" customWidth="1"/>
    <col min="11283" max="11283" width="9" style="61" customWidth="1"/>
    <col min="11284" max="11284" width="13.6640625" style="61" customWidth="1"/>
    <col min="11285" max="11296" width="9" style="61" customWidth="1"/>
    <col min="11297" max="11520" width="8.1640625" style="61"/>
    <col min="11521" max="11521" width="5.33203125" style="61" customWidth="1"/>
    <col min="11522" max="11522" width="7.1640625" style="61" customWidth="1"/>
    <col min="11523" max="11523" width="21.58203125" style="61" customWidth="1"/>
    <col min="11524" max="11524" width="8.4140625" style="61" customWidth="1"/>
    <col min="11525" max="11525" width="17.33203125" style="61" customWidth="1"/>
    <col min="11526" max="11531" width="8.1640625" style="61" hidden="1" customWidth="1"/>
    <col min="11532" max="11537" width="10.08203125" style="61" customWidth="1"/>
    <col min="11538" max="11538" width="21.58203125" style="61" customWidth="1"/>
    <col min="11539" max="11539" width="9" style="61" customWidth="1"/>
    <col min="11540" max="11540" width="13.6640625" style="61" customWidth="1"/>
    <col min="11541" max="11552" width="9" style="61" customWidth="1"/>
    <col min="11553" max="11776" width="8.1640625" style="61"/>
    <col min="11777" max="11777" width="5.33203125" style="61" customWidth="1"/>
    <col min="11778" max="11778" width="7.1640625" style="61" customWidth="1"/>
    <col min="11779" max="11779" width="21.58203125" style="61" customWidth="1"/>
    <col min="11780" max="11780" width="8.4140625" style="61" customWidth="1"/>
    <col min="11781" max="11781" width="17.33203125" style="61" customWidth="1"/>
    <col min="11782" max="11787" width="8.1640625" style="61" hidden="1" customWidth="1"/>
    <col min="11788" max="11793" width="10.08203125" style="61" customWidth="1"/>
    <col min="11794" max="11794" width="21.58203125" style="61" customWidth="1"/>
    <col min="11795" max="11795" width="9" style="61" customWidth="1"/>
    <col min="11796" max="11796" width="13.6640625" style="61" customWidth="1"/>
    <col min="11797" max="11808" width="9" style="61" customWidth="1"/>
    <col min="11809" max="12032" width="8.1640625" style="61"/>
    <col min="12033" max="12033" width="5.33203125" style="61" customWidth="1"/>
    <col min="12034" max="12034" width="7.1640625" style="61" customWidth="1"/>
    <col min="12035" max="12035" width="21.58203125" style="61" customWidth="1"/>
    <col min="12036" max="12036" width="8.4140625" style="61" customWidth="1"/>
    <col min="12037" max="12037" width="17.33203125" style="61" customWidth="1"/>
    <col min="12038" max="12043" width="8.1640625" style="61" hidden="1" customWidth="1"/>
    <col min="12044" max="12049" width="10.08203125" style="61" customWidth="1"/>
    <col min="12050" max="12050" width="21.58203125" style="61" customWidth="1"/>
    <col min="12051" max="12051" width="9" style="61" customWidth="1"/>
    <col min="12052" max="12052" width="13.6640625" style="61" customWidth="1"/>
    <col min="12053" max="12064" width="9" style="61" customWidth="1"/>
    <col min="12065" max="12288" width="8.1640625" style="61"/>
    <col min="12289" max="12289" width="5.33203125" style="61" customWidth="1"/>
    <col min="12290" max="12290" width="7.1640625" style="61" customWidth="1"/>
    <col min="12291" max="12291" width="21.58203125" style="61" customWidth="1"/>
    <col min="12292" max="12292" width="8.4140625" style="61" customWidth="1"/>
    <col min="12293" max="12293" width="17.33203125" style="61" customWidth="1"/>
    <col min="12294" max="12299" width="8.1640625" style="61" hidden="1" customWidth="1"/>
    <col min="12300" max="12305" width="10.08203125" style="61" customWidth="1"/>
    <col min="12306" max="12306" width="21.58203125" style="61" customWidth="1"/>
    <col min="12307" max="12307" width="9" style="61" customWidth="1"/>
    <col min="12308" max="12308" width="13.6640625" style="61" customWidth="1"/>
    <col min="12309" max="12320" width="9" style="61" customWidth="1"/>
    <col min="12321" max="12544" width="8.1640625" style="61"/>
    <col min="12545" max="12545" width="5.33203125" style="61" customWidth="1"/>
    <col min="12546" max="12546" width="7.1640625" style="61" customWidth="1"/>
    <col min="12547" max="12547" width="21.58203125" style="61" customWidth="1"/>
    <col min="12548" max="12548" width="8.4140625" style="61" customWidth="1"/>
    <col min="12549" max="12549" width="17.33203125" style="61" customWidth="1"/>
    <col min="12550" max="12555" width="8.1640625" style="61" hidden="1" customWidth="1"/>
    <col min="12556" max="12561" width="10.08203125" style="61" customWidth="1"/>
    <col min="12562" max="12562" width="21.58203125" style="61" customWidth="1"/>
    <col min="12563" max="12563" width="9" style="61" customWidth="1"/>
    <col min="12564" max="12564" width="13.6640625" style="61" customWidth="1"/>
    <col min="12565" max="12576" width="9" style="61" customWidth="1"/>
    <col min="12577" max="12800" width="8.1640625" style="61"/>
    <col min="12801" max="12801" width="5.33203125" style="61" customWidth="1"/>
    <col min="12802" max="12802" width="7.1640625" style="61" customWidth="1"/>
    <col min="12803" max="12803" width="21.58203125" style="61" customWidth="1"/>
    <col min="12804" max="12804" width="8.4140625" style="61" customWidth="1"/>
    <col min="12805" max="12805" width="17.33203125" style="61" customWidth="1"/>
    <col min="12806" max="12811" width="8.1640625" style="61" hidden="1" customWidth="1"/>
    <col min="12812" max="12817" width="10.08203125" style="61" customWidth="1"/>
    <col min="12818" max="12818" width="21.58203125" style="61" customWidth="1"/>
    <col min="12819" max="12819" width="9" style="61" customWidth="1"/>
    <col min="12820" max="12820" width="13.6640625" style="61" customWidth="1"/>
    <col min="12821" max="12832" width="9" style="61" customWidth="1"/>
    <col min="12833" max="13056" width="8.1640625" style="61"/>
    <col min="13057" max="13057" width="5.33203125" style="61" customWidth="1"/>
    <col min="13058" max="13058" width="7.1640625" style="61" customWidth="1"/>
    <col min="13059" max="13059" width="21.58203125" style="61" customWidth="1"/>
    <col min="13060" max="13060" width="8.4140625" style="61" customWidth="1"/>
    <col min="13061" max="13061" width="17.33203125" style="61" customWidth="1"/>
    <col min="13062" max="13067" width="8.1640625" style="61" hidden="1" customWidth="1"/>
    <col min="13068" max="13073" width="10.08203125" style="61" customWidth="1"/>
    <col min="13074" max="13074" width="21.58203125" style="61" customWidth="1"/>
    <col min="13075" max="13075" width="9" style="61" customWidth="1"/>
    <col min="13076" max="13076" width="13.6640625" style="61" customWidth="1"/>
    <col min="13077" max="13088" width="9" style="61" customWidth="1"/>
    <col min="13089" max="13312" width="8.1640625" style="61"/>
    <col min="13313" max="13313" width="5.33203125" style="61" customWidth="1"/>
    <col min="13314" max="13314" width="7.1640625" style="61" customWidth="1"/>
    <col min="13315" max="13315" width="21.58203125" style="61" customWidth="1"/>
    <col min="13316" max="13316" width="8.4140625" style="61" customWidth="1"/>
    <col min="13317" max="13317" width="17.33203125" style="61" customWidth="1"/>
    <col min="13318" max="13323" width="8.1640625" style="61" hidden="1" customWidth="1"/>
    <col min="13324" max="13329" width="10.08203125" style="61" customWidth="1"/>
    <col min="13330" max="13330" width="21.58203125" style="61" customWidth="1"/>
    <col min="13331" max="13331" width="9" style="61" customWidth="1"/>
    <col min="13332" max="13332" width="13.6640625" style="61" customWidth="1"/>
    <col min="13333" max="13344" width="9" style="61" customWidth="1"/>
    <col min="13345" max="13568" width="8.1640625" style="61"/>
    <col min="13569" max="13569" width="5.33203125" style="61" customWidth="1"/>
    <col min="13570" max="13570" width="7.1640625" style="61" customWidth="1"/>
    <col min="13571" max="13571" width="21.58203125" style="61" customWidth="1"/>
    <col min="13572" max="13572" width="8.4140625" style="61" customWidth="1"/>
    <col min="13573" max="13573" width="17.33203125" style="61" customWidth="1"/>
    <col min="13574" max="13579" width="8.1640625" style="61" hidden="1" customWidth="1"/>
    <col min="13580" max="13585" width="10.08203125" style="61" customWidth="1"/>
    <col min="13586" max="13586" width="21.58203125" style="61" customWidth="1"/>
    <col min="13587" max="13587" width="9" style="61" customWidth="1"/>
    <col min="13588" max="13588" width="13.6640625" style="61" customWidth="1"/>
    <col min="13589" max="13600" width="9" style="61" customWidth="1"/>
    <col min="13601" max="13824" width="8.1640625" style="61"/>
    <col min="13825" max="13825" width="5.33203125" style="61" customWidth="1"/>
    <col min="13826" max="13826" width="7.1640625" style="61" customWidth="1"/>
    <col min="13827" max="13827" width="21.58203125" style="61" customWidth="1"/>
    <col min="13828" max="13828" width="8.4140625" style="61" customWidth="1"/>
    <col min="13829" max="13829" width="17.33203125" style="61" customWidth="1"/>
    <col min="13830" max="13835" width="8.1640625" style="61" hidden="1" customWidth="1"/>
    <col min="13836" max="13841" width="10.08203125" style="61" customWidth="1"/>
    <col min="13842" max="13842" width="21.58203125" style="61" customWidth="1"/>
    <col min="13843" max="13843" width="9" style="61" customWidth="1"/>
    <col min="13844" max="13844" width="13.6640625" style="61" customWidth="1"/>
    <col min="13845" max="13856" width="9" style="61" customWidth="1"/>
    <col min="13857" max="14080" width="8.1640625" style="61"/>
    <col min="14081" max="14081" width="5.33203125" style="61" customWidth="1"/>
    <col min="14082" max="14082" width="7.1640625" style="61" customWidth="1"/>
    <col min="14083" max="14083" width="21.58203125" style="61" customWidth="1"/>
    <col min="14084" max="14084" width="8.4140625" style="61" customWidth="1"/>
    <col min="14085" max="14085" width="17.33203125" style="61" customWidth="1"/>
    <col min="14086" max="14091" width="8.1640625" style="61" hidden="1" customWidth="1"/>
    <col min="14092" max="14097" width="10.08203125" style="61" customWidth="1"/>
    <col min="14098" max="14098" width="21.58203125" style="61" customWidth="1"/>
    <col min="14099" max="14099" width="9" style="61" customWidth="1"/>
    <col min="14100" max="14100" width="13.6640625" style="61" customWidth="1"/>
    <col min="14101" max="14112" width="9" style="61" customWidth="1"/>
    <col min="14113" max="14336" width="8.1640625" style="61"/>
    <col min="14337" max="14337" width="5.33203125" style="61" customWidth="1"/>
    <col min="14338" max="14338" width="7.1640625" style="61" customWidth="1"/>
    <col min="14339" max="14339" width="21.58203125" style="61" customWidth="1"/>
    <col min="14340" max="14340" width="8.4140625" style="61" customWidth="1"/>
    <col min="14341" max="14341" width="17.33203125" style="61" customWidth="1"/>
    <col min="14342" max="14347" width="8.1640625" style="61" hidden="1" customWidth="1"/>
    <col min="14348" max="14353" width="10.08203125" style="61" customWidth="1"/>
    <col min="14354" max="14354" width="21.58203125" style="61" customWidth="1"/>
    <col min="14355" max="14355" width="9" style="61" customWidth="1"/>
    <col min="14356" max="14356" width="13.6640625" style="61" customWidth="1"/>
    <col min="14357" max="14368" width="9" style="61" customWidth="1"/>
    <col min="14369" max="14592" width="8.1640625" style="61"/>
    <col min="14593" max="14593" width="5.33203125" style="61" customWidth="1"/>
    <col min="14594" max="14594" width="7.1640625" style="61" customWidth="1"/>
    <col min="14595" max="14595" width="21.58203125" style="61" customWidth="1"/>
    <col min="14596" max="14596" width="8.4140625" style="61" customWidth="1"/>
    <col min="14597" max="14597" width="17.33203125" style="61" customWidth="1"/>
    <col min="14598" max="14603" width="8.1640625" style="61" hidden="1" customWidth="1"/>
    <col min="14604" max="14609" width="10.08203125" style="61" customWidth="1"/>
    <col min="14610" max="14610" width="21.58203125" style="61" customWidth="1"/>
    <col min="14611" max="14611" width="9" style="61" customWidth="1"/>
    <col min="14612" max="14612" width="13.6640625" style="61" customWidth="1"/>
    <col min="14613" max="14624" width="9" style="61" customWidth="1"/>
    <col min="14625" max="14848" width="8.1640625" style="61"/>
    <col min="14849" max="14849" width="5.33203125" style="61" customWidth="1"/>
    <col min="14850" max="14850" width="7.1640625" style="61" customWidth="1"/>
    <col min="14851" max="14851" width="21.58203125" style="61" customWidth="1"/>
    <col min="14852" max="14852" width="8.4140625" style="61" customWidth="1"/>
    <col min="14853" max="14853" width="17.33203125" style="61" customWidth="1"/>
    <col min="14854" max="14859" width="8.1640625" style="61" hidden="1" customWidth="1"/>
    <col min="14860" max="14865" width="10.08203125" style="61" customWidth="1"/>
    <col min="14866" max="14866" width="21.58203125" style="61" customWidth="1"/>
    <col min="14867" max="14867" width="9" style="61" customWidth="1"/>
    <col min="14868" max="14868" width="13.6640625" style="61" customWidth="1"/>
    <col min="14869" max="14880" width="9" style="61" customWidth="1"/>
    <col min="14881" max="15104" width="8.1640625" style="61"/>
    <col min="15105" max="15105" width="5.33203125" style="61" customWidth="1"/>
    <col min="15106" max="15106" width="7.1640625" style="61" customWidth="1"/>
    <col min="15107" max="15107" width="21.58203125" style="61" customWidth="1"/>
    <col min="15108" max="15108" width="8.4140625" style="61" customWidth="1"/>
    <col min="15109" max="15109" width="17.33203125" style="61" customWidth="1"/>
    <col min="15110" max="15115" width="8.1640625" style="61" hidden="1" customWidth="1"/>
    <col min="15116" max="15121" width="10.08203125" style="61" customWidth="1"/>
    <col min="15122" max="15122" width="21.58203125" style="61" customWidth="1"/>
    <col min="15123" max="15123" width="9" style="61" customWidth="1"/>
    <col min="15124" max="15124" width="13.6640625" style="61" customWidth="1"/>
    <col min="15125" max="15136" width="9" style="61" customWidth="1"/>
    <col min="15137" max="15360" width="8.1640625" style="61"/>
    <col min="15361" max="15361" width="5.33203125" style="61" customWidth="1"/>
    <col min="15362" max="15362" width="7.1640625" style="61" customWidth="1"/>
    <col min="15363" max="15363" width="21.58203125" style="61" customWidth="1"/>
    <col min="15364" max="15364" width="8.4140625" style="61" customWidth="1"/>
    <col min="15365" max="15365" width="17.33203125" style="61" customWidth="1"/>
    <col min="15366" max="15371" width="8.1640625" style="61" hidden="1" customWidth="1"/>
    <col min="15372" max="15377" width="10.08203125" style="61" customWidth="1"/>
    <col min="15378" max="15378" width="21.58203125" style="61" customWidth="1"/>
    <col min="15379" max="15379" width="9" style="61" customWidth="1"/>
    <col min="15380" max="15380" width="13.6640625" style="61" customWidth="1"/>
    <col min="15381" max="15392" width="9" style="61" customWidth="1"/>
    <col min="15393" max="15616" width="8.1640625" style="61"/>
    <col min="15617" max="15617" width="5.33203125" style="61" customWidth="1"/>
    <col min="15618" max="15618" width="7.1640625" style="61" customWidth="1"/>
    <col min="15619" max="15619" width="21.58203125" style="61" customWidth="1"/>
    <col min="15620" max="15620" width="8.4140625" style="61" customWidth="1"/>
    <col min="15621" max="15621" width="17.33203125" style="61" customWidth="1"/>
    <col min="15622" max="15627" width="8.1640625" style="61" hidden="1" customWidth="1"/>
    <col min="15628" max="15633" width="10.08203125" style="61" customWidth="1"/>
    <col min="15634" max="15634" width="21.58203125" style="61" customWidth="1"/>
    <col min="15635" max="15635" width="9" style="61" customWidth="1"/>
    <col min="15636" max="15636" width="13.6640625" style="61" customWidth="1"/>
    <col min="15637" max="15648" width="9" style="61" customWidth="1"/>
    <col min="15649" max="15872" width="8.1640625" style="61"/>
    <col min="15873" max="15873" width="5.33203125" style="61" customWidth="1"/>
    <col min="15874" max="15874" width="7.1640625" style="61" customWidth="1"/>
    <col min="15875" max="15875" width="21.58203125" style="61" customWidth="1"/>
    <col min="15876" max="15876" width="8.4140625" style="61" customWidth="1"/>
    <col min="15877" max="15877" width="17.33203125" style="61" customWidth="1"/>
    <col min="15878" max="15883" width="8.1640625" style="61" hidden="1" customWidth="1"/>
    <col min="15884" max="15889" width="10.08203125" style="61" customWidth="1"/>
    <col min="15890" max="15890" width="21.58203125" style="61" customWidth="1"/>
    <col min="15891" max="15891" width="9" style="61" customWidth="1"/>
    <col min="15892" max="15892" width="13.6640625" style="61" customWidth="1"/>
    <col min="15893" max="15904" width="9" style="61" customWidth="1"/>
    <col min="15905" max="16128" width="8.1640625" style="61"/>
    <col min="16129" max="16129" width="5.33203125" style="61" customWidth="1"/>
    <col min="16130" max="16130" width="7.1640625" style="61" customWidth="1"/>
    <col min="16131" max="16131" width="21.58203125" style="61" customWidth="1"/>
    <col min="16132" max="16132" width="8.4140625" style="61" customWidth="1"/>
    <col min="16133" max="16133" width="17.33203125" style="61" customWidth="1"/>
    <col min="16134" max="16139" width="8.1640625" style="61" hidden="1" customWidth="1"/>
    <col min="16140" max="16145" width="10.08203125" style="61" customWidth="1"/>
    <col min="16146" max="16146" width="21.58203125" style="61" customWidth="1"/>
    <col min="16147" max="16147" width="9" style="61" customWidth="1"/>
    <col min="16148" max="16148" width="13.6640625" style="61" customWidth="1"/>
    <col min="16149" max="16160" width="9" style="61" customWidth="1"/>
    <col min="16161" max="16384" width="8.1640625" style="61"/>
  </cols>
  <sheetData>
    <row r="1" spans="1:185" x14ac:dyDescent="0.3">
      <c r="E1" s="63">
        <f>SUM(F5:H5)</f>
        <v>306.78244711263602</v>
      </c>
      <c r="F1" s="64">
        <f>SUM(F15:H15)</f>
        <v>167.30114860089699</v>
      </c>
      <c r="G1" s="61">
        <f>E1-F1</f>
        <v>139.481298511738</v>
      </c>
      <c r="H1" s="65">
        <f>G1/E1</f>
        <v>0.45465866715812298</v>
      </c>
      <c r="T1" s="61" t="s">
        <v>61</v>
      </c>
    </row>
    <row r="2" spans="1:185" ht="21" x14ac:dyDescent="0.3">
      <c r="B2" s="149" t="s">
        <v>62</v>
      </c>
      <c r="C2" s="150"/>
      <c r="D2" s="150"/>
      <c r="E2" s="151"/>
      <c r="F2" s="150"/>
      <c r="G2" s="150"/>
      <c r="H2" s="150"/>
      <c r="I2" s="150"/>
      <c r="J2" s="150"/>
      <c r="K2" s="150"/>
      <c r="L2" s="150"/>
      <c r="M2" s="150"/>
      <c r="N2" s="150"/>
      <c r="O2" s="150"/>
      <c r="P2" s="150"/>
      <c r="Q2" s="150"/>
      <c r="T2" s="66" t="s">
        <v>63</v>
      </c>
      <c r="U2" s="67" t="s">
        <v>48</v>
      </c>
      <c r="V2" s="67" t="s">
        <v>49</v>
      </c>
      <c r="W2" s="67" t="s">
        <v>50</v>
      </c>
      <c r="X2" s="67" t="s">
        <v>51</v>
      </c>
      <c r="Y2" s="67" t="s">
        <v>52</v>
      </c>
      <c r="Z2" s="67" t="s">
        <v>53</v>
      </c>
      <c r="AA2" s="67" t="s">
        <v>54</v>
      </c>
      <c r="AB2" s="67" t="s">
        <v>55</v>
      </c>
      <c r="AC2" s="67" t="s">
        <v>56</v>
      </c>
      <c r="AD2" s="67" t="s">
        <v>57</v>
      </c>
      <c r="AE2" s="67" t="s">
        <v>58</v>
      </c>
      <c r="AF2" s="67" t="s">
        <v>59</v>
      </c>
      <c r="AG2" s="67" t="s">
        <v>64</v>
      </c>
    </row>
    <row r="3" spans="1:185" ht="16.5" x14ac:dyDescent="0.3">
      <c r="B3" s="155" t="s">
        <v>1</v>
      </c>
      <c r="C3" s="147" t="s">
        <v>65</v>
      </c>
      <c r="D3" s="147" t="s">
        <v>8</v>
      </c>
      <c r="E3" s="147" t="s">
        <v>46</v>
      </c>
      <c r="F3" s="152" t="s">
        <v>47</v>
      </c>
      <c r="G3" s="153"/>
      <c r="H3" s="153"/>
      <c r="I3" s="153"/>
      <c r="J3" s="153"/>
      <c r="K3" s="153"/>
      <c r="L3" s="153"/>
      <c r="M3" s="153"/>
      <c r="N3" s="153"/>
      <c r="O3" s="153"/>
      <c r="P3" s="153"/>
      <c r="Q3" s="154"/>
      <c r="R3" s="147" t="s">
        <v>66</v>
      </c>
      <c r="T3" s="66" t="s">
        <v>67</v>
      </c>
      <c r="U3" s="68">
        <v>1</v>
      </c>
      <c r="V3" s="68">
        <v>1</v>
      </c>
      <c r="W3" s="69">
        <v>15</v>
      </c>
      <c r="X3" s="69">
        <f>[2]利润版预算!J$4</f>
        <v>22</v>
      </c>
      <c r="Y3" s="69">
        <f>[2]利润版预算!K$4</f>
        <v>22</v>
      </c>
      <c r="Z3" s="69">
        <f>[2]利润版预算!L$4</f>
        <v>22</v>
      </c>
      <c r="AA3" s="69">
        <f>[2]利润版预算!M$4</f>
        <v>5</v>
      </c>
      <c r="AB3" s="69">
        <f>[2]利润版预算!N$4</f>
        <v>5</v>
      </c>
      <c r="AC3" s="69">
        <f>[2]利润版预算!O$4</f>
        <v>6</v>
      </c>
      <c r="AD3" s="69">
        <f>[2]利润版预算!P$4</f>
        <v>13</v>
      </c>
      <c r="AE3" s="69">
        <f>[2]利润版预算!Q$4</f>
        <v>13</v>
      </c>
      <c r="AF3" s="69">
        <f>[2]利润版预算!R$4</f>
        <v>13</v>
      </c>
      <c r="AG3" s="70">
        <f>SUM(U3:AF3)</f>
        <v>138</v>
      </c>
    </row>
    <row r="4" spans="1:185" ht="16.5" x14ac:dyDescent="0.3">
      <c r="B4" s="156"/>
      <c r="C4" s="148"/>
      <c r="D4" s="148"/>
      <c r="E4" s="148"/>
      <c r="F4" s="71" t="s">
        <v>48</v>
      </c>
      <c r="G4" s="71" t="s">
        <v>68</v>
      </c>
      <c r="H4" s="71" t="s">
        <v>69</v>
      </c>
      <c r="I4" s="71" t="s">
        <v>70</v>
      </c>
      <c r="J4" s="71" t="s">
        <v>71</v>
      </c>
      <c r="K4" s="71" t="s">
        <v>72</v>
      </c>
      <c r="L4" s="71" t="s">
        <v>73</v>
      </c>
      <c r="M4" s="71" t="s">
        <v>74</v>
      </c>
      <c r="N4" s="71" t="s">
        <v>75</v>
      </c>
      <c r="O4" s="71" t="s">
        <v>76</v>
      </c>
      <c r="P4" s="71" t="s">
        <v>77</v>
      </c>
      <c r="Q4" s="71" t="s">
        <v>78</v>
      </c>
      <c r="R4" s="148"/>
      <c r="T4" s="66" t="s">
        <v>32</v>
      </c>
      <c r="U4" s="68"/>
      <c r="V4" s="68"/>
      <c r="W4" s="68"/>
      <c r="X4" s="68"/>
      <c r="Y4" s="68"/>
      <c r="Z4" s="68"/>
      <c r="AA4" s="68">
        <f t="shared" ref="AA4:AF4" si="0">425/6</f>
        <v>70.8333333333333</v>
      </c>
      <c r="AB4" s="68">
        <f t="shared" si="0"/>
        <v>70.8333333333333</v>
      </c>
      <c r="AC4" s="68">
        <f t="shared" si="0"/>
        <v>70.8333333333333</v>
      </c>
      <c r="AD4" s="68">
        <f t="shared" si="0"/>
        <v>70.8333333333333</v>
      </c>
      <c r="AE4" s="68">
        <f t="shared" si="0"/>
        <v>70.8333333333333</v>
      </c>
      <c r="AF4" s="68">
        <f t="shared" si="0"/>
        <v>70.8333333333333</v>
      </c>
      <c r="AG4" s="70">
        <f>SUM(U4:AF4)</f>
        <v>425</v>
      </c>
    </row>
    <row r="5" spans="1:185" ht="15" customHeight="1" x14ac:dyDescent="0.3">
      <c r="B5" s="11">
        <v>1</v>
      </c>
      <c r="C5" s="12" t="s">
        <v>18</v>
      </c>
      <c r="D5" s="13" t="s">
        <v>20</v>
      </c>
      <c r="E5" s="72">
        <f>SUM(F5:Q5)</f>
        <v>2884.03496906294</v>
      </c>
      <c r="F5" s="35">
        <f>SUM(F6)</f>
        <v>18.0460263007433</v>
      </c>
      <c r="G5" s="35">
        <f t="shared" ref="G5:Q5" si="1">SUM(G6)</f>
        <v>18.0460263007433</v>
      </c>
      <c r="H5" s="35">
        <f t="shared" si="1"/>
        <v>270.69039451114901</v>
      </c>
      <c r="I5" s="35">
        <f t="shared" si="1"/>
        <v>354.140777757021</v>
      </c>
      <c r="J5" s="35">
        <f t="shared" si="1"/>
        <v>354.140777757021</v>
      </c>
      <c r="K5" s="35">
        <f t="shared" si="1"/>
        <v>354.140777757021</v>
      </c>
      <c r="L5" s="35">
        <f t="shared" si="1"/>
        <v>226.13836477987499</v>
      </c>
      <c r="M5" s="35">
        <f t="shared" si="1"/>
        <v>256.138364779874</v>
      </c>
      <c r="N5" s="35">
        <f t="shared" si="1"/>
        <v>256.138364779874</v>
      </c>
      <c r="O5" s="35">
        <f t="shared" si="1"/>
        <v>258.80503144654102</v>
      </c>
      <c r="P5" s="35">
        <f t="shared" si="1"/>
        <v>258.80503144654102</v>
      </c>
      <c r="Q5" s="35">
        <f t="shared" si="1"/>
        <v>258.80503144654102</v>
      </c>
      <c r="R5" s="12"/>
      <c r="T5" s="65"/>
    </row>
    <row r="6" spans="1:185" ht="15" customHeight="1" x14ac:dyDescent="0.3">
      <c r="A6" s="73">
        <f>E6/E6</f>
        <v>1</v>
      </c>
      <c r="B6" s="23">
        <v>1.1000000000000001</v>
      </c>
      <c r="C6" s="74" t="s">
        <v>79</v>
      </c>
      <c r="D6" s="25" t="s">
        <v>20</v>
      </c>
      <c r="E6" s="75">
        <f>SUM(F6:Q6)</f>
        <v>2884.03496906294</v>
      </c>
      <c r="F6" s="39">
        <f>SUM(F7:F13)</f>
        <v>18.0460263007433</v>
      </c>
      <c r="G6" s="39">
        <f t="shared" ref="G6:Q6" si="2">SUM(G7:G13)</f>
        <v>18.0460263007433</v>
      </c>
      <c r="H6" s="39">
        <f t="shared" si="2"/>
        <v>270.69039451114901</v>
      </c>
      <c r="I6" s="39">
        <f t="shared" si="2"/>
        <v>354.140777757021</v>
      </c>
      <c r="J6" s="39">
        <f t="shared" si="2"/>
        <v>354.140777757021</v>
      </c>
      <c r="K6" s="39">
        <f t="shared" si="2"/>
        <v>354.140777757021</v>
      </c>
      <c r="L6" s="39">
        <f t="shared" si="2"/>
        <v>226.13836477987499</v>
      </c>
      <c r="M6" s="39">
        <f t="shared" si="2"/>
        <v>256.138364779874</v>
      </c>
      <c r="N6" s="39">
        <f t="shared" si="2"/>
        <v>256.138364779874</v>
      </c>
      <c r="O6" s="39">
        <f t="shared" si="2"/>
        <v>258.80503144654102</v>
      </c>
      <c r="P6" s="39">
        <f t="shared" si="2"/>
        <v>258.80503144654102</v>
      </c>
      <c r="Q6" s="39">
        <f t="shared" si="2"/>
        <v>258.80503144654102</v>
      </c>
      <c r="R6" s="74"/>
      <c r="S6" s="73">
        <f>(E6-E15)/E6</f>
        <v>0.41538859045136201</v>
      </c>
      <c r="T6" s="65"/>
    </row>
    <row r="7" spans="1:185" ht="15" customHeight="1" x14ac:dyDescent="0.3">
      <c r="A7" s="76">
        <f>E7/$E$6</f>
        <v>0.578551713043162</v>
      </c>
      <c r="B7" s="23"/>
      <c r="C7" s="24" t="s">
        <v>80</v>
      </c>
      <c r="D7" s="25" t="s">
        <v>20</v>
      </c>
      <c r="E7" s="75">
        <f t="shared" ref="E7:E15" si="3">SUM(F7:Q7)</f>
        <v>1668.56337182775</v>
      </c>
      <c r="F7" s="77">
        <f>1212/144/0.44/1.06*U3-F10</f>
        <v>13.9760263007433</v>
      </c>
      <c r="G7" s="77">
        <f>1212/144/0.44/1.06*V3</f>
        <v>18.0460263007433</v>
      </c>
      <c r="H7" s="77">
        <f>1212/144/0.44/1.06*W3-H13</f>
        <v>266.729998471545</v>
      </c>
      <c r="I7" s="78">
        <f>(12*58/1.06+12*8/1.06)/3</f>
        <v>249.05660377358501</v>
      </c>
      <c r="J7" s="78">
        <f>(12*58/1.06+12*8/1.06)/3</f>
        <v>249.05660377358501</v>
      </c>
      <c r="K7" s="78">
        <f>(12*58/1.06+12*8/1.06)/3</f>
        <v>249.05660377358501</v>
      </c>
      <c r="L7" s="78">
        <f>[2]利润版预算!$G5/3</f>
        <v>60.377358490566003</v>
      </c>
      <c r="M7" s="78">
        <f>[2]利润版预算!$G5/3</f>
        <v>60.377358490566003</v>
      </c>
      <c r="N7" s="78">
        <f>[2]利润版预算!$G5/3</f>
        <v>60.377358490566003</v>
      </c>
      <c r="O7" s="78">
        <f>[2]利润版预算!$H5/3</f>
        <v>147.169811320755</v>
      </c>
      <c r="P7" s="78">
        <f>[2]利润版预算!$H5/3</f>
        <v>147.169811320755</v>
      </c>
      <c r="Q7" s="78">
        <f>[2]利润版预算!$H5/3</f>
        <v>147.169811320755</v>
      </c>
      <c r="R7" s="74"/>
      <c r="S7" s="76">
        <f>(E7-E16)/E7</f>
        <v>0.44207334049063401</v>
      </c>
      <c r="T7" s="65"/>
    </row>
    <row r="8" spans="1:185" s="56" customFormat="1" ht="15" customHeight="1" x14ac:dyDescent="0.3">
      <c r="A8" s="76">
        <f t="shared" ref="A8:A13" si="4">E8/$E$6</f>
        <v>3.6121136818705497E-2</v>
      </c>
      <c r="B8" s="28"/>
      <c r="C8" s="24" t="s">
        <v>81</v>
      </c>
      <c r="D8" s="25" t="s">
        <v>20</v>
      </c>
      <c r="E8" s="75">
        <f t="shared" si="3"/>
        <v>104.17462170745399</v>
      </c>
      <c r="F8" s="77"/>
      <c r="G8" s="77"/>
      <c r="H8" s="77"/>
      <c r="I8" s="78">
        <f>(9.9/1.01+4.75)/3</f>
        <v>4.8506600660065997</v>
      </c>
      <c r="J8" s="78">
        <f>(9.9/1.01+4.75)/3</f>
        <v>4.8506600660065997</v>
      </c>
      <c r="K8" s="78">
        <f>(9.9/1.01+4.75)/3</f>
        <v>4.8506600660065997</v>
      </c>
      <c r="L8" s="78">
        <f>[2]利润版预算!$G6/3</f>
        <v>11.0062893081761</v>
      </c>
      <c r="M8" s="78">
        <f>[2]利润版预算!$G6/3</f>
        <v>11.0062893081761</v>
      </c>
      <c r="N8" s="78">
        <f>[2]利润版预算!$G6/3</f>
        <v>11.0062893081761</v>
      </c>
      <c r="O8" s="78">
        <f>[2]利润版预算!$H6/3</f>
        <v>18.867924528301899</v>
      </c>
      <c r="P8" s="78">
        <f>[2]利润版预算!$H6/3</f>
        <v>18.867924528301899</v>
      </c>
      <c r="Q8" s="78">
        <f>[2]利润版预算!$H6/3</f>
        <v>18.867924528301899</v>
      </c>
      <c r="R8" s="24"/>
      <c r="S8" s="76">
        <f t="shared" ref="S8:S13" si="5">(E8-E17)/E8</f>
        <v>0.5</v>
      </c>
      <c r="T8" s="65"/>
      <c r="U8" s="61"/>
      <c r="V8" s="61"/>
      <c r="W8" s="61"/>
      <c r="X8" s="61"/>
      <c r="Y8" s="61"/>
      <c r="Z8" s="61"/>
      <c r="AA8" s="61"/>
      <c r="AB8" s="61"/>
      <c r="AC8" s="61"/>
      <c r="AD8" s="61"/>
      <c r="AE8" s="61"/>
      <c r="AF8" s="61"/>
      <c r="AG8" s="61"/>
      <c r="AH8" s="61"/>
    </row>
    <row r="9" spans="1:185" ht="15" customHeight="1" x14ac:dyDescent="0.3">
      <c r="A9" s="76">
        <f t="shared" si="4"/>
        <v>6.9774796645205195E-2</v>
      </c>
      <c r="B9" s="23"/>
      <c r="C9" s="24" t="s">
        <v>82</v>
      </c>
      <c r="D9" s="25" t="s">
        <v>20</v>
      </c>
      <c r="E9" s="75">
        <f t="shared" si="3"/>
        <v>201.232953484028</v>
      </c>
      <c r="F9" s="77"/>
      <c r="G9" s="77"/>
      <c r="H9" s="77"/>
      <c r="I9" s="78">
        <f>36.5/1.01/3</f>
        <v>12.046204620461999</v>
      </c>
      <c r="J9" s="78">
        <f>36.5/1.01/3</f>
        <v>12.046204620461999</v>
      </c>
      <c r="K9" s="78">
        <f>36.5/1.01/3</f>
        <v>12.046204620461999</v>
      </c>
      <c r="L9" s="78">
        <f>[2]利润版预算!$G7/3</f>
        <v>22.012578616352201</v>
      </c>
      <c r="M9" s="78">
        <f>[2]利润版预算!$G7/3</f>
        <v>22.012578616352201</v>
      </c>
      <c r="N9" s="78">
        <f>[2]利润版预算!$G7/3</f>
        <v>22.012578616352201</v>
      </c>
      <c r="O9" s="78">
        <f>[2]利润版预算!$H7/3</f>
        <v>33.018867924528301</v>
      </c>
      <c r="P9" s="78">
        <f>[2]利润版预算!$H7/3</f>
        <v>33.018867924528301</v>
      </c>
      <c r="Q9" s="78">
        <f>[2]利润版预算!$H7/3</f>
        <v>33.018867924528301</v>
      </c>
      <c r="R9" s="74"/>
      <c r="S9" s="76">
        <f t="shared" si="5"/>
        <v>0.5</v>
      </c>
      <c r="T9" s="65"/>
    </row>
    <row r="10" spans="1:185" ht="15" customHeight="1" x14ac:dyDescent="0.3">
      <c r="A10" s="76">
        <f t="shared" si="4"/>
        <v>2.4308906306997901E-2</v>
      </c>
      <c r="B10" s="23"/>
      <c r="C10" s="24" t="s">
        <v>83</v>
      </c>
      <c r="D10" s="25" t="s">
        <v>20</v>
      </c>
      <c r="E10" s="75">
        <f t="shared" si="3"/>
        <v>70.107735849056695</v>
      </c>
      <c r="F10" s="77">
        <f>4.07</f>
        <v>4.07</v>
      </c>
      <c r="G10" s="77"/>
      <c r="H10" s="77"/>
      <c r="I10" s="78">
        <f>50/1.06/3</f>
        <v>15.7232704402516</v>
      </c>
      <c r="J10" s="78">
        <f>50/1.06/3</f>
        <v>15.7232704402516</v>
      </c>
      <c r="K10" s="78">
        <f>50/1.06/3</f>
        <v>15.7232704402516</v>
      </c>
      <c r="L10" s="78">
        <f>[2]利润版预算!$G8/3</f>
        <v>6.2893081761006302</v>
      </c>
      <c r="M10" s="78">
        <f>[2]利润版预算!$G8/3</f>
        <v>6.2893081761006302</v>
      </c>
      <c r="N10" s="78">
        <f>[2]利润版预算!$G8/3</f>
        <v>6.2893081761006302</v>
      </c>
      <c r="O10" s="78">
        <f>[2]利润版预算!$H8/3</f>
        <v>0</v>
      </c>
      <c r="P10" s="78">
        <f>[2]利润版预算!$H8/3</f>
        <v>0</v>
      </c>
      <c r="Q10" s="78">
        <f>[2]利润版预算!$H8/3</f>
        <v>0</v>
      </c>
      <c r="R10" s="74"/>
      <c r="S10" s="76">
        <f t="shared" si="5"/>
        <v>0.15000000000000299</v>
      </c>
      <c r="T10" s="65"/>
    </row>
    <row r="11" spans="1:185" ht="15" customHeight="1" x14ac:dyDescent="0.3">
      <c r="A11" s="76">
        <f t="shared" si="4"/>
        <v>5.26614460383883E-2</v>
      </c>
      <c r="B11" s="23"/>
      <c r="C11" s="24" t="s">
        <v>84</v>
      </c>
      <c r="D11" s="25" t="s">
        <v>20</v>
      </c>
      <c r="E11" s="75">
        <f t="shared" si="3"/>
        <v>151.87745189613301</v>
      </c>
      <c r="F11" s="77"/>
      <c r="G11" s="77"/>
      <c r="H11" s="77"/>
      <c r="I11" s="78">
        <f>(10+10)/1.01/3</f>
        <v>6.6006600660065997</v>
      </c>
      <c r="J11" s="78">
        <f>(10+10)/1.01/3</f>
        <v>6.6006600660065997</v>
      </c>
      <c r="K11" s="78">
        <f>(10+10)/1.01/3</f>
        <v>6.6006600660065997</v>
      </c>
      <c r="L11" s="78">
        <f>[2]利润版预算!$G9/3</f>
        <v>15.7232704402516</v>
      </c>
      <c r="M11" s="78">
        <f>[2]利润版预算!$G9/3</f>
        <v>15.7232704402516</v>
      </c>
      <c r="N11" s="78">
        <f>[2]利润版预算!$G9/3</f>
        <v>15.7232704402516</v>
      </c>
      <c r="O11" s="78">
        <f>[2]利润版预算!$H9/3</f>
        <v>28.301886792452802</v>
      </c>
      <c r="P11" s="78">
        <f>[2]利润版预算!$H9/3</f>
        <v>28.301886792452802</v>
      </c>
      <c r="Q11" s="78">
        <f>[2]利润版预算!$H9/3</f>
        <v>28.301886792452802</v>
      </c>
      <c r="R11" s="74"/>
      <c r="S11" s="76">
        <f t="shared" si="5"/>
        <v>0.8</v>
      </c>
      <c r="T11" s="65"/>
    </row>
    <row r="12" spans="1:185" ht="15" customHeight="1" x14ac:dyDescent="0.3">
      <c r="A12" s="76">
        <f t="shared" si="4"/>
        <v>0</v>
      </c>
      <c r="B12" s="23"/>
      <c r="C12" s="24" t="s">
        <v>85</v>
      </c>
      <c r="D12" s="25" t="s">
        <v>20</v>
      </c>
      <c r="E12" s="75">
        <f t="shared" si="3"/>
        <v>0</v>
      </c>
      <c r="F12" s="77"/>
      <c r="G12" s="77"/>
      <c r="H12" s="77"/>
      <c r="I12" s="78">
        <f>[2]利润版预算!$F10/3</f>
        <v>0</v>
      </c>
      <c r="J12" s="78">
        <f>[2]利润版预算!$F10/3</f>
        <v>0</v>
      </c>
      <c r="K12" s="78">
        <f>[2]利润版预算!$F10/3</f>
        <v>0</v>
      </c>
      <c r="L12" s="78">
        <f>[2]利润版预算!$G10/3</f>
        <v>0</v>
      </c>
      <c r="M12" s="78">
        <f>[2]利润版预算!$G10/3</f>
        <v>0</v>
      </c>
      <c r="N12" s="78">
        <f>[2]利润版预算!$G10/3</f>
        <v>0</v>
      </c>
      <c r="O12" s="78">
        <f>[2]利润版预算!$H10/3</f>
        <v>0</v>
      </c>
      <c r="P12" s="78">
        <f>[2]利润版预算!$H10/3</f>
        <v>0</v>
      </c>
      <c r="Q12" s="78">
        <f>[2]利润版预算!$H10/3</f>
        <v>0</v>
      </c>
      <c r="R12" s="74"/>
      <c r="S12" s="76">
        <v>0</v>
      </c>
      <c r="T12" s="76"/>
      <c r="U12" s="59"/>
      <c r="V12" s="59"/>
      <c r="W12" s="59"/>
      <c r="X12" s="59"/>
      <c r="Y12" s="59"/>
      <c r="Z12" s="59"/>
      <c r="AA12" s="59"/>
      <c r="AB12" s="59"/>
      <c r="AC12" s="59"/>
      <c r="AD12" s="59"/>
      <c r="AE12" s="59"/>
      <c r="AF12" s="59"/>
      <c r="AG12" s="59"/>
    </row>
    <row r="13" spans="1:185" ht="15" customHeight="1" x14ac:dyDescent="0.3">
      <c r="A13" s="76">
        <f t="shared" si="4"/>
        <v>0.238582001147541</v>
      </c>
      <c r="B13" s="23"/>
      <c r="C13" s="24" t="s">
        <v>86</v>
      </c>
      <c r="D13" s="25" t="s">
        <v>20</v>
      </c>
      <c r="E13" s="75">
        <f t="shared" si="3"/>
        <v>688.07883429852404</v>
      </c>
      <c r="F13" s="77"/>
      <c r="G13" s="77"/>
      <c r="H13" s="77">
        <f>4/1.01</f>
        <v>3.9603960396039599</v>
      </c>
      <c r="I13" s="78">
        <f>[2]利润版预算!$F12/3</f>
        <v>65.863378790709305</v>
      </c>
      <c r="J13" s="78">
        <f>[2]利润版预算!$F12/3</f>
        <v>65.863378790709305</v>
      </c>
      <c r="K13" s="78">
        <f>[2]利润版预算!$F12/3</f>
        <v>65.863378790709305</v>
      </c>
      <c r="L13" s="78">
        <f>[2]利润版预算!$G12/3</f>
        <v>110.729559748428</v>
      </c>
      <c r="M13" s="79">
        <f>[2]利润版预算!$G12/3+30</f>
        <v>140.72955974842799</v>
      </c>
      <c r="N13" s="79">
        <f>[2]利润版预算!$G12/3+30</f>
        <v>140.72955974842799</v>
      </c>
      <c r="O13" s="78">
        <f>[2]利润版预算!$H12/3</f>
        <v>31.4465408805031</v>
      </c>
      <c r="P13" s="78">
        <f>[2]利润版预算!$H12/3</f>
        <v>31.4465408805031</v>
      </c>
      <c r="Q13" s="78">
        <f>[2]利润版预算!$H12/3</f>
        <v>31.4465408805031</v>
      </c>
      <c r="R13" s="74"/>
      <c r="S13" s="76">
        <f t="shared" si="5"/>
        <v>0.25527006319900297</v>
      </c>
      <c r="T13" s="76"/>
      <c r="U13" s="59"/>
      <c r="V13" s="59"/>
      <c r="W13" s="59"/>
      <c r="X13" s="59"/>
      <c r="Y13" s="59"/>
      <c r="Z13" s="59"/>
      <c r="AA13" s="59"/>
      <c r="AB13" s="59"/>
      <c r="AC13" s="59"/>
      <c r="AD13" s="59"/>
      <c r="AE13" s="59"/>
      <c r="AF13" s="59"/>
      <c r="AG13" s="59"/>
    </row>
    <row r="14" spans="1:185" ht="15" customHeight="1" x14ac:dyDescent="0.3">
      <c r="B14" s="11">
        <v>2</v>
      </c>
      <c r="C14" s="12" t="s">
        <v>25</v>
      </c>
      <c r="D14" s="13" t="s">
        <v>20</v>
      </c>
      <c r="E14" s="72">
        <f t="shared" si="3"/>
        <v>2882.9951573133899</v>
      </c>
      <c r="F14" s="35">
        <f t="shared" ref="F14:Q14" si="6">SUM(F15,F23:F24,F27,F30,F33)</f>
        <v>87.665275913416295</v>
      </c>
      <c r="G14" s="35">
        <f t="shared" si="6"/>
        <v>84.732724555082797</v>
      </c>
      <c r="H14" s="35">
        <f t="shared" si="6"/>
        <v>230.82643572739801</v>
      </c>
      <c r="I14" s="35">
        <f t="shared" si="6"/>
        <v>297.347039275577</v>
      </c>
      <c r="J14" s="35">
        <f t="shared" si="6"/>
        <v>328.79545591335602</v>
      </c>
      <c r="K14" s="35">
        <f t="shared" si="6"/>
        <v>326.86784445478497</v>
      </c>
      <c r="L14" s="35">
        <f t="shared" si="6"/>
        <v>277.54891156604702</v>
      </c>
      <c r="M14" s="35">
        <f t="shared" si="6"/>
        <v>225.819371457697</v>
      </c>
      <c r="N14" s="35">
        <f t="shared" si="6"/>
        <v>228.07140642769701</v>
      </c>
      <c r="O14" s="35">
        <f t="shared" si="6"/>
        <v>235.204972086628</v>
      </c>
      <c r="P14" s="35">
        <f t="shared" si="6"/>
        <v>226.56545045285401</v>
      </c>
      <c r="Q14" s="35">
        <f t="shared" si="6"/>
        <v>333.55026948285399</v>
      </c>
      <c r="R14" s="12"/>
      <c r="T14" s="59"/>
      <c r="U14" s="59"/>
      <c r="V14" s="59"/>
      <c r="W14" s="59"/>
      <c r="X14" s="59"/>
      <c r="Y14" s="59"/>
      <c r="Z14" s="59"/>
      <c r="AA14" s="59"/>
      <c r="AB14" s="59"/>
      <c r="AC14" s="59"/>
      <c r="AD14" s="59"/>
      <c r="AE14" s="59"/>
      <c r="AF14" s="59"/>
      <c r="AG14" s="59"/>
    </row>
    <row r="15" spans="1:185" s="57" customFormat="1" ht="15" customHeight="1" x14ac:dyDescent="0.3">
      <c r="A15" s="59"/>
      <c r="B15" s="23">
        <v>2.1</v>
      </c>
      <c r="C15" s="74" t="s">
        <v>87</v>
      </c>
      <c r="D15" s="25" t="s">
        <v>20</v>
      </c>
      <c r="E15" s="75">
        <f t="shared" si="3"/>
        <v>1686.0397484514499</v>
      </c>
      <c r="F15" s="39">
        <f>SUM(F16:F22)</f>
        <v>7.8265747284162499</v>
      </c>
      <c r="G15" s="39">
        <f t="shared" ref="G15:Q15" si="7">SUM(G16:G22)</f>
        <v>10.105774728416201</v>
      </c>
      <c r="H15" s="39">
        <f t="shared" si="7"/>
        <v>149.36879914406501</v>
      </c>
      <c r="I15" s="39">
        <f t="shared" si="7"/>
        <v>211.359407497354</v>
      </c>
      <c r="J15" s="39">
        <f t="shared" si="7"/>
        <v>241.359407497354</v>
      </c>
      <c r="K15" s="39">
        <f t="shared" si="7"/>
        <v>241.359407497354</v>
      </c>
      <c r="L15" s="39">
        <f t="shared" si="7"/>
        <v>138.85534591195</v>
      </c>
      <c r="M15" s="39">
        <f t="shared" si="7"/>
        <v>138.85534591195</v>
      </c>
      <c r="N15" s="39">
        <f t="shared" si="7"/>
        <v>138.85534591195</v>
      </c>
      <c r="O15" s="39">
        <f t="shared" si="7"/>
        <v>136.03144654088001</v>
      </c>
      <c r="P15" s="39">
        <f t="shared" si="7"/>
        <v>136.03144654088001</v>
      </c>
      <c r="Q15" s="39">
        <f t="shared" si="7"/>
        <v>136.03144654088001</v>
      </c>
      <c r="R15" s="74"/>
      <c r="S15" s="59"/>
      <c r="T15" s="80"/>
      <c r="U15" s="81" t="s">
        <v>48</v>
      </c>
      <c r="V15" s="81" t="s">
        <v>49</v>
      </c>
      <c r="W15" s="81" t="s">
        <v>50</v>
      </c>
      <c r="X15" s="81" t="s">
        <v>51</v>
      </c>
      <c r="Y15" s="81" t="s">
        <v>52</v>
      </c>
      <c r="Z15" s="81" t="s">
        <v>53</v>
      </c>
      <c r="AA15" s="81" t="s">
        <v>54</v>
      </c>
      <c r="AB15" s="81" t="s">
        <v>55</v>
      </c>
      <c r="AC15" s="81" t="s">
        <v>56</v>
      </c>
      <c r="AD15" s="81" t="s">
        <v>57</v>
      </c>
      <c r="AE15" s="81" t="s">
        <v>58</v>
      </c>
      <c r="AF15" s="81" t="s">
        <v>59</v>
      </c>
      <c r="AG15" s="81" t="s">
        <v>64</v>
      </c>
      <c r="AH15" s="61"/>
      <c r="AI15" s="61"/>
      <c r="AJ15" s="61"/>
      <c r="AK15" s="61"/>
      <c r="AL15" s="61"/>
      <c r="AM15" s="61"/>
      <c r="AN15" s="61"/>
      <c r="AO15" s="61"/>
      <c r="AP15" s="61"/>
      <c r="AQ15" s="61"/>
      <c r="AR15" s="61"/>
      <c r="AS15" s="61"/>
      <c r="AT15" s="61"/>
      <c r="AU15" s="61"/>
      <c r="AV15" s="61"/>
      <c r="AW15" s="61"/>
      <c r="AX15" s="61"/>
      <c r="AY15" s="61"/>
      <c r="AZ15" s="61"/>
      <c r="BA15" s="61"/>
      <c r="BB15" s="61"/>
      <c r="BC15" s="61"/>
      <c r="BD15" s="61"/>
      <c r="BE15" s="61"/>
      <c r="BF15" s="61"/>
      <c r="BG15" s="61"/>
      <c r="BH15" s="61"/>
      <c r="BI15" s="61"/>
      <c r="BJ15" s="61"/>
      <c r="BK15" s="61"/>
      <c r="BL15" s="61"/>
      <c r="BM15" s="61"/>
      <c r="BN15" s="61"/>
      <c r="BO15" s="61"/>
      <c r="BP15" s="61"/>
      <c r="BQ15" s="61"/>
      <c r="BR15" s="61"/>
      <c r="BS15" s="61"/>
      <c r="BT15" s="61"/>
      <c r="BU15" s="61"/>
      <c r="BV15" s="61"/>
      <c r="BW15" s="61"/>
      <c r="BX15" s="61"/>
      <c r="BY15" s="61"/>
      <c r="BZ15" s="61"/>
      <c r="CA15" s="61"/>
      <c r="CB15" s="61"/>
      <c r="CC15" s="61"/>
      <c r="CD15" s="61"/>
      <c r="CE15" s="61"/>
      <c r="CF15" s="61"/>
      <c r="CG15" s="61"/>
      <c r="CH15" s="61"/>
      <c r="CI15" s="61"/>
      <c r="CJ15" s="61"/>
      <c r="CK15" s="61"/>
      <c r="CL15" s="61"/>
      <c r="CM15" s="61"/>
      <c r="CN15" s="61"/>
      <c r="CO15" s="61"/>
      <c r="CP15" s="61"/>
      <c r="CQ15" s="61"/>
      <c r="CR15" s="61"/>
      <c r="CS15" s="61"/>
      <c r="CT15" s="61"/>
      <c r="CU15" s="61"/>
      <c r="CV15" s="61"/>
      <c r="CW15" s="61"/>
      <c r="CX15" s="61"/>
      <c r="CY15" s="61"/>
      <c r="CZ15" s="61"/>
      <c r="DA15" s="61"/>
      <c r="DB15" s="61"/>
      <c r="DC15" s="61"/>
      <c r="DD15" s="61"/>
      <c r="DE15" s="61"/>
      <c r="DF15" s="61"/>
      <c r="DG15" s="61"/>
      <c r="DH15" s="61"/>
      <c r="DI15" s="61"/>
      <c r="DJ15" s="61"/>
      <c r="DK15" s="61"/>
      <c r="DL15" s="61"/>
      <c r="DM15" s="61"/>
      <c r="DN15" s="61"/>
      <c r="DO15" s="61"/>
      <c r="DP15" s="61"/>
      <c r="DQ15" s="61"/>
      <c r="DR15" s="61"/>
      <c r="DS15" s="61"/>
      <c r="DT15" s="61"/>
      <c r="DU15" s="61"/>
      <c r="DV15" s="61"/>
      <c r="DW15" s="61"/>
      <c r="DX15" s="61"/>
      <c r="DY15" s="61"/>
      <c r="DZ15" s="61"/>
      <c r="EA15" s="61"/>
      <c r="EB15" s="61"/>
      <c r="EC15" s="61"/>
      <c r="ED15" s="61"/>
      <c r="EE15" s="61"/>
      <c r="EF15" s="61"/>
      <c r="EG15" s="61"/>
      <c r="EH15" s="61"/>
      <c r="EI15" s="61"/>
      <c r="EJ15" s="61"/>
      <c r="EK15" s="61"/>
      <c r="EL15" s="61"/>
      <c r="EM15" s="61"/>
      <c r="EN15" s="61"/>
      <c r="EO15" s="61"/>
      <c r="EP15" s="61"/>
      <c r="EQ15" s="61"/>
      <c r="ER15" s="61"/>
      <c r="ES15" s="61"/>
      <c r="ET15" s="61"/>
      <c r="EU15" s="61"/>
      <c r="EV15" s="61"/>
      <c r="EW15" s="61"/>
      <c r="EX15" s="61"/>
      <c r="EY15" s="61"/>
      <c r="EZ15" s="61"/>
      <c r="FA15" s="61"/>
      <c r="FB15" s="61"/>
      <c r="FC15" s="61"/>
      <c r="FD15" s="61"/>
      <c r="FE15" s="61"/>
      <c r="FF15" s="61"/>
      <c r="FG15" s="61"/>
      <c r="FH15" s="61"/>
      <c r="FI15" s="61"/>
      <c r="FJ15" s="61"/>
      <c r="FK15" s="61"/>
      <c r="FL15" s="61"/>
      <c r="FM15" s="61"/>
      <c r="FN15" s="61"/>
      <c r="FO15" s="61"/>
      <c r="FP15" s="61"/>
      <c r="FQ15" s="61"/>
      <c r="FR15" s="61"/>
      <c r="FS15" s="61"/>
      <c r="FT15" s="61"/>
      <c r="FU15" s="61"/>
      <c r="FV15" s="61"/>
      <c r="FW15" s="61"/>
      <c r="FX15" s="61"/>
      <c r="FY15" s="61"/>
      <c r="FZ15" s="61"/>
      <c r="GA15" s="61"/>
      <c r="GB15" s="61"/>
      <c r="GC15" s="61"/>
    </row>
    <row r="16" spans="1:185" s="57" customFormat="1" ht="15" customHeight="1" x14ac:dyDescent="0.3">
      <c r="A16" s="59"/>
      <c r="B16" s="23"/>
      <c r="C16" s="24" t="s">
        <v>80</v>
      </c>
      <c r="D16" s="25" t="s">
        <v>20</v>
      </c>
      <c r="E16" s="75">
        <f t="shared" ref="E16:E22" si="8">SUM(F16:Q16)</f>
        <v>930.93598822354102</v>
      </c>
      <c r="F16" s="77">
        <f>F7*0.56-F19</f>
        <v>4.3670747284162497</v>
      </c>
      <c r="G16" s="77">
        <f>G7*0.56</f>
        <v>10.105774728416201</v>
      </c>
      <c r="H16" s="77">
        <f>H7*0.56-H22</f>
        <v>149.36879914406501</v>
      </c>
      <c r="I16" s="77">
        <f>[2]利润版预算!$F15/3</f>
        <v>139.47169811320799</v>
      </c>
      <c r="J16" s="77">
        <f>[2]利润版预算!$F15/3</f>
        <v>139.47169811320799</v>
      </c>
      <c r="K16" s="77">
        <f>[2]利润版预算!$F15/3</f>
        <v>139.47169811320799</v>
      </c>
      <c r="L16" s="77">
        <f>[2]利润版预算!$G15/3</f>
        <v>33.811320754717002</v>
      </c>
      <c r="M16" s="77">
        <f>[2]利润版预算!$G15/3</f>
        <v>33.811320754717002</v>
      </c>
      <c r="N16" s="77">
        <f>[2]利润版预算!$G15/3</f>
        <v>33.811320754717002</v>
      </c>
      <c r="O16" s="77">
        <f>[2]利润版预算!$H15/3</f>
        <v>82.415094339622698</v>
      </c>
      <c r="P16" s="77">
        <f>[2]利润版预算!$H15/3</f>
        <v>82.415094339622698</v>
      </c>
      <c r="Q16" s="77">
        <f>[2]利润版预算!$H15/3</f>
        <v>82.415094339622698</v>
      </c>
      <c r="R16" s="74"/>
      <c r="S16" s="59"/>
      <c r="T16" s="80" t="s">
        <v>88</v>
      </c>
      <c r="U16" s="82">
        <v>0.8</v>
      </c>
      <c r="V16" s="82">
        <v>0</v>
      </c>
      <c r="W16" s="83">
        <v>0</v>
      </c>
      <c r="X16" s="84">
        <f>(F5+G5+H5)*0.01</f>
        <v>3.06782447112636</v>
      </c>
      <c r="Y16" s="84">
        <f>(I5-I15)*0.06</f>
        <v>8.5668822155800406</v>
      </c>
      <c r="Z16" s="84">
        <f t="shared" ref="Z16:AF16" si="9">(J5-J15)*0.06</f>
        <v>6.7668822155800399</v>
      </c>
      <c r="AA16" s="84">
        <f t="shared" si="9"/>
        <v>6.7668822155800399</v>
      </c>
      <c r="AB16" s="84">
        <f t="shared" si="9"/>
        <v>5.2369811320754902</v>
      </c>
      <c r="AC16" s="84">
        <f t="shared" si="9"/>
        <v>7.0369811320754696</v>
      </c>
      <c r="AD16" s="84">
        <f t="shared" si="9"/>
        <v>7.0369811320754696</v>
      </c>
      <c r="AE16" s="84">
        <f t="shared" si="9"/>
        <v>7.3664150943396303</v>
      </c>
      <c r="AF16" s="84">
        <f t="shared" si="9"/>
        <v>7.3664150943396303</v>
      </c>
      <c r="AG16" s="85">
        <f>SUM(U16:AF16)</f>
        <v>60.0122447027722</v>
      </c>
      <c r="AH16" s="61"/>
      <c r="AI16" s="61"/>
      <c r="AJ16" s="61"/>
      <c r="AK16" s="61"/>
      <c r="AL16" s="61"/>
      <c r="AM16" s="61"/>
      <c r="AN16" s="61"/>
      <c r="AO16" s="61"/>
      <c r="AP16" s="61"/>
      <c r="AQ16" s="61"/>
      <c r="AR16" s="61"/>
      <c r="AS16" s="61"/>
      <c r="AT16" s="61"/>
      <c r="AU16" s="61"/>
      <c r="AV16" s="61"/>
      <c r="AW16" s="61"/>
      <c r="AX16" s="61"/>
      <c r="AY16" s="61"/>
      <c r="AZ16" s="61"/>
      <c r="BA16" s="61"/>
      <c r="BB16" s="61"/>
      <c r="BC16" s="61"/>
      <c r="BD16" s="61"/>
      <c r="BE16" s="61"/>
      <c r="BF16" s="61"/>
      <c r="BG16" s="61"/>
      <c r="BH16" s="61"/>
      <c r="BI16" s="61"/>
      <c r="BJ16" s="61"/>
      <c r="BK16" s="61"/>
      <c r="BL16" s="61"/>
      <c r="BM16" s="61"/>
      <c r="BN16" s="61"/>
      <c r="BO16" s="61"/>
      <c r="BP16" s="61"/>
      <c r="BQ16" s="61"/>
      <c r="BR16" s="61"/>
      <c r="BS16" s="61"/>
      <c r="BT16" s="61"/>
      <c r="BU16" s="61"/>
      <c r="BV16" s="61"/>
      <c r="BW16" s="61"/>
      <c r="BX16" s="61"/>
      <c r="BY16" s="61"/>
      <c r="BZ16" s="61"/>
      <c r="CA16" s="61"/>
      <c r="CB16" s="61"/>
      <c r="CC16" s="61"/>
      <c r="CD16" s="61"/>
      <c r="CE16" s="61"/>
      <c r="CF16" s="61"/>
      <c r="CG16" s="61"/>
      <c r="CH16" s="61"/>
      <c r="CI16" s="61"/>
      <c r="CJ16" s="61"/>
      <c r="CK16" s="61"/>
      <c r="CL16" s="61"/>
      <c r="CM16" s="61"/>
      <c r="CN16" s="61"/>
      <c r="CO16" s="61"/>
      <c r="CP16" s="61"/>
      <c r="CQ16" s="61"/>
      <c r="CR16" s="61"/>
      <c r="CS16" s="61"/>
      <c r="CT16" s="61"/>
      <c r="CU16" s="61"/>
      <c r="CV16" s="61"/>
      <c r="CW16" s="61"/>
      <c r="CX16" s="61"/>
      <c r="CY16" s="61"/>
      <c r="CZ16" s="61"/>
      <c r="DA16" s="61"/>
      <c r="DB16" s="61"/>
      <c r="DC16" s="61"/>
      <c r="DD16" s="61"/>
      <c r="DE16" s="61"/>
      <c r="DF16" s="61"/>
      <c r="DG16" s="61"/>
      <c r="DH16" s="61"/>
      <c r="DI16" s="61"/>
      <c r="DJ16" s="61"/>
      <c r="DK16" s="61"/>
      <c r="DL16" s="61"/>
      <c r="DM16" s="61"/>
      <c r="DN16" s="61"/>
      <c r="DO16" s="61"/>
      <c r="DP16" s="61"/>
      <c r="DQ16" s="61"/>
      <c r="DR16" s="61"/>
      <c r="DS16" s="61"/>
      <c r="DT16" s="61"/>
      <c r="DU16" s="61"/>
      <c r="DV16" s="61"/>
      <c r="DW16" s="61"/>
      <c r="DX16" s="61"/>
      <c r="DY16" s="61"/>
      <c r="DZ16" s="61"/>
      <c r="EA16" s="61"/>
      <c r="EB16" s="61"/>
      <c r="EC16" s="61"/>
      <c r="ED16" s="61"/>
      <c r="EE16" s="61"/>
      <c r="EF16" s="61"/>
      <c r="EG16" s="61"/>
      <c r="EH16" s="61"/>
      <c r="EI16" s="61"/>
      <c r="EJ16" s="61"/>
      <c r="EK16" s="61"/>
      <c r="EL16" s="61"/>
      <c r="EM16" s="61"/>
      <c r="EN16" s="61"/>
      <c r="EO16" s="61"/>
      <c r="EP16" s="61"/>
      <c r="EQ16" s="61"/>
      <c r="ER16" s="61"/>
      <c r="ES16" s="61"/>
      <c r="ET16" s="61"/>
      <c r="EU16" s="61"/>
      <c r="EV16" s="61"/>
      <c r="EW16" s="61"/>
      <c r="EX16" s="61"/>
      <c r="EY16" s="61"/>
      <c r="EZ16" s="61"/>
      <c r="FA16" s="61"/>
      <c r="FB16" s="61"/>
      <c r="FC16" s="61"/>
      <c r="FD16" s="61"/>
      <c r="FE16" s="61"/>
      <c r="FF16" s="61"/>
      <c r="FG16" s="61"/>
      <c r="FH16" s="61"/>
      <c r="FI16" s="61"/>
      <c r="FJ16" s="61"/>
      <c r="FK16" s="61"/>
      <c r="FL16" s="61"/>
      <c r="FM16" s="61"/>
      <c r="FN16" s="61"/>
      <c r="FO16" s="61"/>
      <c r="FP16" s="61"/>
      <c r="FQ16" s="61"/>
      <c r="FR16" s="61"/>
      <c r="FS16" s="61"/>
      <c r="FT16" s="61"/>
      <c r="FU16" s="61"/>
      <c r="FV16" s="61"/>
      <c r="FW16" s="61"/>
      <c r="FX16" s="61"/>
      <c r="FY16" s="61"/>
      <c r="FZ16" s="61"/>
      <c r="GA16" s="61"/>
      <c r="GB16" s="61"/>
      <c r="GC16" s="61"/>
    </row>
    <row r="17" spans="1:185" s="57" customFormat="1" ht="15" customHeight="1" x14ac:dyDescent="0.3">
      <c r="A17" s="59"/>
      <c r="B17" s="23"/>
      <c r="C17" s="24" t="s">
        <v>81</v>
      </c>
      <c r="D17" s="25" t="s">
        <v>20</v>
      </c>
      <c r="E17" s="75">
        <f t="shared" si="8"/>
        <v>52.087310853726898</v>
      </c>
      <c r="F17" s="77"/>
      <c r="G17" s="77"/>
      <c r="H17" s="77"/>
      <c r="I17" s="77">
        <f>[2]利润版预算!$F16/3</f>
        <v>2.4253300330032999</v>
      </c>
      <c r="J17" s="77">
        <f>[2]利润版预算!$F16/3</f>
        <v>2.4253300330032999</v>
      </c>
      <c r="K17" s="77">
        <f>[2]利润版预算!$F16/3</f>
        <v>2.4253300330032999</v>
      </c>
      <c r="L17" s="77">
        <f>[2]利润版预算!$G16/3</f>
        <v>5.5031446540880697</v>
      </c>
      <c r="M17" s="77">
        <f>[2]利润版预算!$G16/3</f>
        <v>5.5031446540880697</v>
      </c>
      <c r="N17" s="77">
        <f>[2]利润版预算!$G16/3</f>
        <v>5.5031446540880697</v>
      </c>
      <c r="O17" s="77">
        <f>[2]利润版预算!$H16/3</f>
        <v>9.4339622641509298</v>
      </c>
      <c r="P17" s="77">
        <f>[2]利润版预算!$H16/3</f>
        <v>9.4339622641509298</v>
      </c>
      <c r="Q17" s="77">
        <f>[2]利润版预算!$H16/3</f>
        <v>9.4339622641509298</v>
      </c>
      <c r="R17" s="74"/>
      <c r="S17" s="59"/>
      <c r="T17" s="80"/>
      <c r="U17" s="82"/>
      <c r="V17" s="82"/>
      <c r="W17" s="83"/>
      <c r="X17" s="84"/>
      <c r="Y17" s="84"/>
      <c r="Z17" s="84"/>
      <c r="AA17" s="84"/>
      <c r="AB17" s="84"/>
      <c r="AC17" s="84"/>
      <c r="AD17" s="84"/>
      <c r="AE17" s="84"/>
      <c r="AF17" s="84"/>
      <c r="AG17" s="85"/>
      <c r="AH17" s="61"/>
      <c r="AI17" s="61"/>
      <c r="AJ17" s="61"/>
      <c r="AK17" s="61"/>
      <c r="AL17" s="61"/>
      <c r="AM17" s="61"/>
      <c r="AN17" s="61"/>
      <c r="AO17" s="61"/>
      <c r="AP17" s="61"/>
      <c r="AQ17" s="61"/>
      <c r="AR17" s="61"/>
      <c r="AS17" s="61"/>
      <c r="AT17" s="61"/>
      <c r="AU17" s="61"/>
      <c r="AV17" s="61"/>
      <c r="AW17" s="61"/>
      <c r="AX17" s="61"/>
      <c r="AY17" s="61"/>
      <c r="AZ17" s="61"/>
      <c r="BA17" s="61"/>
      <c r="BB17" s="61"/>
      <c r="BC17" s="61"/>
      <c r="BD17" s="61"/>
      <c r="BE17" s="61"/>
      <c r="BF17" s="61"/>
      <c r="BG17" s="61"/>
      <c r="BH17" s="61"/>
      <c r="BI17" s="61"/>
      <c r="BJ17" s="61"/>
      <c r="BK17" s="61"/>
      <c r="BL17" s="61"/>
      <c r="BM17" s="61"/>
      <c r="BN17" s="61"/>
      <c r="BO17" s="61"/>
      <c r="BP17" s="61"/>
      <c r="BQ17" s="61"/>
      <c r="BR17" s="61"/>
      <c r="BS17" s="61"/>
      <c r="BT17" s="61"/>
      <c r="BU17" s="61"/>
      <c r="BV17" s="61"/>
      <c r="BW17" s="61"/>
      <c r="BX17" s="61"/>
      <c r="BY17" s="61"/>
      <c r="BZ17" s="61"/>
      <c r="CA17" s="61"/>
      <c r="CB17" s="61"/>
      <c r="CC17" s="61"/>
      <c r="CD17" s="61"/>
      <c r="CE17" s="61"/>
      <c r="CF17" s="61"/>
      <c r="CG17" s="61"/>
      <c r="CH17" s="61"/>
      <c r="CI17" s="61"/>
      <c r="CJ17" s="61"/>
      <c r="CK17" s="61"/>
      <c r="CL17" s="61"/>
      <c r="CM17" s="61"/>
      <c r="CN17" s="61"/>
      <c r="CO17" s="61"/>
      <c r="CP17" s="61"/>
      <c r="CQ17" s="61"/>
      <c r="CR17" s="61"/>
      <c r="CS17" s="61"/>
      <c r="CT17" s="61"/>
      <c r="CU17" s="61"/>
      <c r="CV17" s="61"/>
      <c r="CW17" s="61"/>
      <c r="CX17" s="61"/>
      <c r="CY17" s="61"/>
      <c r="CZ17" s="61"/>
      <c r="DA17" s="61"/>
      <c r="DB17" s="61"/>
      <c r="DC17" s="61"/>
      <c r="DD17" s="61"/>
      <c r="DE17" s="61"/>
      <c r="DF17" s="61"/>
      <c r="DG17" s="61"/>
      <c r="DH17" s="61"/>
      <c r="DI17" s="61"/>
      <c r="DJ17" s="61"/>
      <c r="DK17" s="61"/>
      <c r="DL17" s="61"/>
      <c r="DM17" s="61"/>
      <c r="DN17" s="61"/>
      <c r="DO17" s="61"/>
      <c r="DP17" s="61"/>
      <c r="DQ17" s="61"/>
      <c r="DR17" s="61"/>
      <c r="DS17" s="61"/>
      <c r="DT17" s="61"/>
      <c r="DU17" s="61"/>
      <c r="DV17" s="61"/>
      <c r="DW17" s="61"/>
      <c r="DX17" s="61"/>
      <c r="DY17" s="61"/>
      <c r="DZ17" s="61"/>
      <c r="EA17" s="61"/>
      <c r="EB17" s="61"/>
      <c r="EC17" s="61"/>
      <c r="ED17" s="61"/>
      <c r="EE17" s="61"/>
      <c r="EF17" s="61"/>
      <c r="EG17" s="61"/>
      <c r="EH17" s="61"/>
      <c r="EI17" s="61"/>
      <c r="EJ17" s="61"/>
      <c r="EK17" s="61"/>
      <c r="EL17" s="61"/>
      <c r="EM17" s="61"/>
      <c r="EN17" s="61"/>
      <c r="EO17" s="61"/>
      <c r="EP17" s="61"/>
      <c r="EQ17" s="61"/>
      <c r="ER17" s="61"/>
      <c r="ES17" s="61"/>
      <c r="ET17" s="61"/>
      <c r="EU17" s="61"/>
      <c r="EV17" s="61"/>
      <c r="EW17" s="61"/>
      <c r="EX17" s="61"/>
      <c r="EY17" s="61"/>
      <c r="EZ17" s="61"/>
      <c r="FA17" s="61"/>
      <c r="FB17" s="61"/>
      <c r="FC17" s="61"/>
      <c r="FD17" s="61"/>
      <c r="FE17" s="61"/>
      <c r="FF17" s="61"/>
      <c r="FG17" s="61"/>
      <c r="FH17" s="61"/>
      <c r="FI17" s="61"/>
      <c r="FJ17" s="61"/>
      <c r="FK17" s="61"/>
      <c r="FL17" s="61"/>
      <c r="FM17" s="61"/>
      <c r="FN17" s="61"/>
      <c r="FO17" s="61"/>
      <c r="FP17" s="61"/>
      <c r="FQ17" s="61"/>
      <c r="FR17" s="61"/>
      <c r="FS17" s="61"/>
      <c r="FT17" s="61"/>
      <c r="FU17" s="61"/>
      <c r="FV17" s="61"/>
      <c r="FW17" s="61"/>
      <c r="FX17" s="61"/>
      <c r="FY17" s="61"/>
      <c r="FZ17" s="61"/>
      <c r="GA17" s="61"/>
      <c r="GB17" s="61"/>
      <c r="GC17" s="61"/>
    </row>
    <row r="18" spans="1:185" s="57" customFormat="1" ht="15" customHeight="1" x14ac:dyDescent="0.3">
      <c r="A18" s="59"/>
      <c r="B18" s="23"/>
      <c r="C18" s="24" t="s">
        <v>82</v>
      </c>
      <c r="D18" s="25" t="s">
        <v>20</v>
      </c>
      <c r="E18" s="75">
        <f t="shared" si="8"/>
        <v>100.616476742014</v>
      </c>
      <c r="F18" s="77"/>
      <c r="G18" s="77"/>
      <c r="H18" s="77"/>
      <c r="I18" s="77">
        <f>[2]利润版预算!$F17/3</f>
        <v>6.0231023102310299</v>
      </c>
      <c r="J18" s="77">
        <f>[2]利润版预算!$F17/3</f>
        <v>6.0231023102310299</v>
      </c>
      <c r="K18" s="77">
        <f>[2]利润版预算!$F17/3</f>
        <v>6.0231023102310299</v>
      </c>
      <c r="L18" s="77">
        <f>[2]利润版预算!$G17/3</f>
        <v>11.0062893081761</v>
      </c>
      <c r="M18" s="77">
        <f>[2]利润版预算!$G17/3</f>
        <v>11.0062893081761</v>
      </c>
      <c r="N18" s="77">
        <f>[2]利润版预算!$G17/3</f>
        <v>11.0062893081761</v>
      </c>
      <c r="O18" s="77">
        <f>[2]利润版预算!$H17/3</f>
        <v>16.509433962264101</v>
      </c>
      <c r="P18" s="77">
        <f>[2]利润版预算!$H17/3</f>
        <v>16.509433962264101</v>
      </c>
      <c r="Q18" s="77">
        <f>[2]利润版预算!$H17/3</f>
        <v>16.509433962264101</v>
      </c>
      <c r="R18" s="74"/>
      <c r="S18" s="59"/>
      <c r="T18" s="80"/>
      <c r="U18" s="82"/>
      <c r="V18" s="82"/>
      <c r="W18" s="83"/>
      <c r="X18" s="84"/>
      <c r="Y18" s="84"/>
      <c r="Z18" s="84"/>
      <c r="AA18" s="84"/>
      <c r="AB18" s="84"/>
      <c r="AC18" s="84"/>
      <c r="AD18" s="84"/>
      <c r="AE18" s="84"/>
      <c r="AF18" s="84"/>
      <c r="AG18" s="85"/>
      <c r="AH18" s="61"/>
      <c r="AI18" s="61"/>
      <c r="AJ18" s="61"/>
      <c r="AK18" s="61"/>
      <c r="AL18" s="61"/>
      <c r="AM18" s="61"/>
      <c r="AN18" s="61"/>
      <c r="AO18" s="61"/>
      <c r="AP18" s="61"/>
      <c r="AQ18" s="61"/>
      <c r="AR18" s="61"/>
      <c r="AS18" s="61"/>
      <c r="AT18" s="61"/>
      <c r="AU18" s="61"/>
      <c r="AV18" s="61"/>
      <c r="AW18" s="61"/>
      <c r="AX18" s="61"/>
      <c r="AY18" s="61"/>
      <c r="AZ18" s="61"/>
      <c r="BA18" s="61"/>
      <c r="BB18" s="61"/>
      <c r="BC18" s="61"/>
      <c r="BD18" s="61"/>
      <c r="BE18" s="61"/>
      <c r="BF18" s="61"/>
      <c r="BG18" s="61"/>
      <c r="BH18" s="61"/>
      <c r="BI18" s="61"/>
      <c r="BJ18" s="61"/>
      <c r="BK18" s="61"/>
      <c r="BL18" s="61"/>
      <c r="BM18" s="61"/>
      <c r="BN18" s="61"/>
      <c r="BO18" s="61"/>
      <c r="BP18" s="61"/>
      <c r="BQ18" s="61"/>
      <c r="BR18" s="61"/>
      <c r="BS18" s="61"/>
      <c r="BT18" s="61"/>
      <c r="BU18" s="61"/>
      <c r="BV18" s="61"/>
      <c r="BW18" s="61"/>
      <c r="BX18" s="61"/>
      <c r="BY18" s="61"/>
      <c r="BZ18" s="61"/>
      <c r="CA18" s="61"/>
      <c r="CB18" s="61"/>
      <c r="CC18" s="61"/>
      <c r="CD18" s="61"/>
      <c r="CE18" s="61"/>
      <c r="CF18" s="61"/>
      <c r="CG18" s="61"/>
      <c r="CH18" s="61"/>
      <c r="CI18" s="61"/>
      <c r="CJ18" s="61"/>
      <c r="CK18" s="61"/>
      <c r="CL18" s="61"/>
      <c r="CM18" s="61"/>
      <c r="CN18" s="61"/>
      <c r="CO18" s="61"/>
      <c r="CP18" s="61"/>
      <c r="CQ18" s="61"/>
      <c r="CR18" s="61"/>
      <c r="CS18" s="61"/>
      <c r="CT18" s="61"/>
      <c r="CU18" s="61"/>
      <c r="CV18" s="61"/>
      <c r="CW18" s="61"/>
      <c r="CX18" s="61"/>
      <c r="CY18" s="61"/>
      <c r="CZ18" s="61"/>
      <c r="DA18" s="61"/>
      <c r="DB18" s="61"/>
      <c r="DC18" s="61"/>
      <c r="DD18" s="61"/>
      <c r="DE18" s="61"/>
      <c r="DF18" s="61"/>
      <c r="DG18" s="61"/>
      <c r="DH18" s="61"/>
      <c r="DI18" s="61"/>
      <c r="DJ18" s="61"/>
      <c r="DK18" s="61"/>
      <c r="DL18" s="61"/>
      <c r="DM18" s="61"/>
      <c r="DN18" s="61"/>
      <c r="DO18" s="61"/>
      <c r="DP18" s="61"/>
      <c r="DQ18" s="61"/>
      <c r="DR18" s="61"/>
      <c r="DS18" s="61"/>
      <c r="DT18" s="61"/>
      <c r="DU18" s="61"/>
      <c r="DV18" s="61"/>
      <c r="DW18" s="61"/>
      <c r="DX18" s="61"/>
      <c r="DY18" s="61"/>
      <c r="DZ18" s="61"/>
      <c r="EA18" s="61"/>
      <c r="EB18" s="61"/>
      <c r="EC18" s="61"/>
      <c r="ED18" s="61"/>
      <c r="EE18" s="61"/>
      <c r="EF18" s="61"/>
      <c r="EG18" s="61"/>
      <c r="EH18" s="61"/>
      <c r="EI18" s="61"/>
      <c r="EJ18" s="61"/>
      <c r="EK18" s="61"/>
      <c r="EL18" s="61"/>
      <c r="EM18" s="61"/>
      <c r="EN18" s="61"/>
      <c r="EO18" s="61"/>
      <c r="EP18" s="61"/>
      <c r="EQ18" s="61"/>
      <c r="ER18" s="61"/>
      <c r="ES18" s="61"/>
      <c r="ET18" s="61"/>
      <c r="EU18" s="61"/>
      <c r="EV18" s="61"/>
      <c r="EW18" s="61"/>
      <c r="EX18" s="61"/>
      <c r="EY18" s="61"/>
      <c r="EZ18" s="61"/>
      <c r="FA18" s="61"/>
      <c r="FB18" s="61"/>
      <c r="FC18" s="61"/>
      <c r="FD18" s="61"/>
      <c r="FE18" s="61"/>
      <c r="FF18" s="61"/>
      <c r="FG18" s="61"/>
      <c r="FH18" s="61"/>
      <c r="FI18" s="61"/>
      <c r="FJ18" s="61"/>
      <c r="FK18" s="61"/>
      <c r="FL18" s="61"/>
      <c r="FM18" s="61"/>
      <c r="FN18" s="61"/>
      <c r="FO18" s="61"/>
      <c r="FP18" s="61"/>
      <c r="FQ18" s="61"/>
      <c r="FR18" s="61"/>
      <c r="FS18" s="61"/>
      <c r="FT18" s="61"/>
      <c r="FU18" s="61"/>
      <c r="FV18" s="61"/>
      <c r="FW18" s="61"/>
      <c r="FX18" s="61"/>
      <c r="FY18" s="61"/>
      <c r="FZ18" s="61"/>
      <c r="GA18" s="61"/>
      <c r="GB18" s="61"/>
      <c r="GC18" s="61"/>
    </row>
    <row r="19" spans="1:185" s="57" customFormat="1" ht="15" customHeight="1" x14ac:dyDescent="0.3">
      <c r="A19" s="59"/>
      <c r="B19" s="23"/>
      <c r="C19" s="24" t="s">
        <v>83</v>
      </c>
      <c r="D19" s="25" t="s">
        <v>20</v>
      </c>
      <c r="E19" s="75">
        <f t="shared" si="8"/>
        <v>59.591575471698</v>
      </c>
      <c r="F19" s="77">
        <f>F10*0.85</f>
        <v>3.4594999999999998</v>
      </c>
      <c r="G19" s="77"/>
      <c r="H19" s="77"/>
      <c r="I19" s="77">
        <f>[2]利润版预算!$F18/3</f>
        <v>13.3647798742138</v>
      </c>
      <c r="J19" s="77">
        <f>[2]利润版预算!$F18/3</f>
        <v>13.3647798742138</v>
      </c>
      <c r="K19" s="77">
        <f>[2]利润版预算!$F18/3</f>
        <v>13.3647798742138</v>
      </c>
      <c r="L19" s="77">
        <f>[2]利润版预算!$G18/3</f>
        <v>5.3459119496855303</v>
      </c>
      <c r="M19" s="77">
        <f>[2]利润版预算!$G18/3</f>
        <v>5.3459119496855303</v>
      </c>
      <c r="N19" s="77">
        <f>[2]利润版预算!$G18/3</f>
        <v>5.3459119496855303</v>
      </c>
      <c r="O19" s="77">
        <f>[2]利润版预算!$H18/3</f>
        <v>0</v>
      </c>
      <c r="P19" s="77">
        <f>[2]利润版预算!$H18/3</f>
        <v>0</v>
      </c>
      <c r="Q19" s="77">
        <f>[2]利润版预算!$H18/3</f>
        <v>0</v>
      </c>
      <c r="R19" s="74"/>
      <c r="S19" s="59"/>
      <c r="T19" s="80"/>
      <c r="U19" s="82"/>
      <c r="V19" s="82"/>
      <c r="W19" s="83"/>
      <c r="X19" s="84"/>
      <c r="Y19" s="84"/>
      <c r="Z19" s="84"/>
      <c r="AA19" s="84"/>
      <c r="AB19" s="84"/>
      <c r="AC19" s="84"/>
      <c r="AD19" s="84"/>
      <c r="AE19" s="84"/>
      <c r="AF19" s="84"/>
      <c r="AG19" s="85"/>
      <c r="AH19" s="61"/>
      <c r="AI19" s="61"/>
      <c r="AJ19" s="61"/>
      <c r="AK19" s="61"/>
      <c r="AL19" s="61"/>
      <c r="AM19" s="61"/>
      <c r="AN19" s="61"/>
      <c r="AO19" s="61"/>
      <c r="AP19" s="61"/>
      <c r="AQ19" s="61"/>
      <c r="AR19" s="61"/>
      <c r="AS19" s="61"/>
      <c r="AT19" s="61"/>
      <c r="AU19" s="61"/>
      <c r="AV19" s="61"/>
      <c r="AW19" s="61"/>
      <c r="AX19" s="61"/>
      <c r="AY19" s="61"/>
      <c r="AZ19" s="61"/>
      <c r="BA19" s="61"/>
      <c r="BB19" s="61"/>
      <c r="BC19" s="61"/>
      <c r="BD19" s="61"/>
      <c r="BE19" s="61"/>
      <c r="BF19" s="61"/>
      <c r="BG19" s="61"/>
      <c r="BH19" s="61"/>
      <c r="BI19" s="61"/>
      <c r="BJ19" s="61"/>
      <c r="BK19" s="61"/>
      <c r="BL19" s="61"/>
      <c r="BM19" s="61"/>
      <c r="BN19" s="61"/>
      <c r="BO19" s="61"/>
      <c r="BP19" s="61"/>
      <c r="BQ19" s="61"/>
      <c r="BR19" s="61"/>
      <c r="BS19" s="61"/>
      <c r="BT19" s="61"/>
      <c r="BU19" s="61"/>
      <c r="BV19" s="61"/>
      <c r="BW19" s="61"/>
      <c r="BX19" s="61"/>
      <c r="BY19" s="61"/>
      <c r="BZ19" s="61"/>
      <c r="CA19" s="61"/>
      <c r="CB19" s="61"/>
      <c r="CC19" s="61"/>
      <c r="CD19" s="61"/>
      <c r="CE19" s="61"/>
      <c r="CF19" s="61"/>
      <c r="CG19" s="61"/>
      <c r="CH19" s="61"/>
      <c r="CI19" s="61"/>
      <c r="CJ19" s="61"/>
      <c r="CK19" s="61"/>
      <c r="CL19" s="61"/>
      <c r="CM19" s="61"/>
      <c r="CN19" s="61"/>
      <c r="CO19" s="61"/>
      <c r="CP19" s="61"/>
      <c r="CQ19" s="61"/>
      <c r="CR19" s="61"/>
      <c r="CS19" s="61"/>
      <c r="CT19" s="61"/>
      <c r="CU19" s="61"/>
      <c r="CV19" s="61"/>
      <c r="CW19" s="61"/>
      <c r="CX19" s="61"/>
      <c r="CY19" s="61"/>
      <c r="CZ19" s="61"/>
      <c r="DA19" s="61"/>
      <c r="DB19" s="61"/>
      <c r="DC19" s="61"/>
      <c r="DD19" s="61"/>
      <c r="DE19" s="61"/>
      <c r="DF19" s="61"/>
      <c r="DG19" s="61"/>
      <c r="DH19" s="61"/>
      <c r="DI19" s="61"/>
      <c r="DJ19" s="61"/>
      <c r="DK19" s="61"/>
      <c r="DL19" s="61"/>
      <c r="DM19" s="61"/>
      <c r="DN19" s="61"/>
      <c r="DO19" s="61"/>
      <c r="DP19" s="61"/>
      <c r="DQ19" s="61"/>
      <c r="DR19" s="61"/>
      <c r="DS19" s="61"/>
      <c r="DT19" s="61"/>
      <c r="DU19" s="61"/>
      <c r="DV19" s="61"/>
      <c r="DW19" s="61"/>
      <c r="DX19" s="61"/>
      <c r="DY19" s="61"/>
      <c r="DZ19" s="61"/>
      <c r="EA19" s="61"/>
      <c r="EB19" s="61"/>
      <c r="EC19" s="61"/>
      <c r="ED19" s="61"/>
      <c r="EE19" s="61"/>
      <c r="EF19" s="61"/>
      <c r="EG19" s="61"/>
      <c r="EH19" s="61"/>
      <c r="EI19" s="61"/>
      <c r="EJ19" s="61"/>
      <c r="EK19" s="61"/>
      <c r="EL19" s="61"/>
      <c r="EM19" s="61"/>
      <c r="EN19" s="61"/>
      <c r="EO19" s="61"/>
      <c r="EP19" s="61"/>
      <c r="EQ19" s="61"/>
      <c r="ER19" s="61"/>
      <c r="ES19" s="61"/>
      <c r="ET19" s="61"/>
      <c r="EU19" s="61"/>
      <c r="EV19" s="61"/>
      <c r="EW19" s="61"/>
      <c r="EX19" s="61"/>
      <c r="EY19" s="61"/>
      <c r="EZ19" s="61"/>
      <c r="FA19" s="61"/>
      <c r="FB19" s="61"/>
      <c r="FC19" s="61"/>
      <c r="FD19" s="61"/>
      <c r="FE19" s="61"/>
      <c r="FF19" s="61"/>
      <c r="FG19" s="61"/>
      <c r="FH19" s="61"/>
      <c r="FI19" s="61"/>
      <c r="FJ19" s="61"/>
      <c r="FK19" s="61"/>
      <c r="FL19" s="61"/>
      <c r="FM19" s="61"/>
      <c r="FN19" s="61"/>
      <c r="FO19" s="61"/>
      <c r="FP19" s="61"/>
      <c r="FQ19" s="61"/>
      <c r="FR19" s="61"/>
      <c r="FS19" s="61"/>
      <c r="FT19" s="61"/>
      <c r="FU19" s="61"/>
      <c r="FV19" s="61"/>
      <c r="FW19" s="61"/>
      <c r="FX19" s="61"/>
      <c r="FY19" s="61"/>
      <c r="FZ19" s="61"/>
      <c r="GA19" s="61"/>
      <c r="GB19" s="61"/>
      <c r="GC19" s="61"/>
    </row>
    <row r="20" spans="1:185" s="57" customFormat="1" ht="15" customHeight="1" x14ac:dyDescent="0.3">
      <c r="A20" s="59"/>
      <c r="B20" s="23"/>
      <c r="C20" s="24" t="s">
        <v>84</v>
      </c>
      <c r="D20" s="25" t="s">
        <v>20</v>
      </c>
      <c r="E20" s="75">
        <f t="shared" si="8"/>
        <v>30.375490379226601</v>
      </c>
      <c r="F20" s="77"/>
      <c r="G20" s="77"/>
      <c r="H20" s="77"/>
      <c r="I20" s="77">
        <f>[2]利润版预算!$F19/3</f>
        <v>1.3201320132013199</v>
      </c>
      <c r="J20" s="77">
        <f>[2]利润版预算!$F19/3</f>
        <v>1.3201320132013199</v>
      </c>
      <c r="K20" s="77">
        <f>[2]利润版预算!$F19/3</f>
        <v>1.3201320132013199</v>
      </c>
      <c r="L20" s="77">
        <f>[2]利润版预算!$G19/3</f>
        <v>3.1446540880503102</v>
      </c>
      <c r="M20" s="77">
        <f>[2]利润版预算!$G19/3</f>
        <v>3.1446540880503102</v>
      </c>
      <c r="N20" s="77">
        <f>[2]利润版预算!$G19/3</f>
        <v>3.1446540880503102</v>
      </c>
      <c r="O20" s="77">
        <f>[2]利润版预算!$H19/3</f>
        <v>5.6603773584905701</v>
      </c>
      <c r="P20" s="77">
        <f>[2]利润版预算!$H19/3</f>
        <v>5.6603773584905701</v>
      </c>
      <c r="Q20" s="77">
        <f>[2]利润版预算!$H19/3</f>
        <v>5.6603773584905701</v>
      </c>
      <c r="R20" s="74"/>
      <c r="S20" s="59"/>
      <c r="T20" s="80"/>
      <c r="U20" s="82"/>
      <c r="V20" s="82"/>
      <c r="W20" s="83"/>
      <c r="X20" s="84"/>
      <c r="Y20" s="84"/>
      <c r="Z20" s="84"/>
      <c r="AA20" s="84"/>
      <c r="AB20" s="84"/>
      <c r="AC20" s="84"/>
      <c r="AD20" s="84"/>
      <c r="AE20" s="84"/>
      <c r="AF20" s="84"/>
      <c r="AG20" s="85"/>
      <c r="AH20" s="61"/>
      <c r="AI20" s="61"/>
      <c r="AJ20" s="61"/>
      <c r="AK20" s="61"/>
      <c r="AL20" s="61"/>
      <c r="AM20" s="61"/>
      <c r="AN20" s="61"/>
      <c r="AO20" s="61"/>
      <c r="AP20" s="61"/>
      <c r="AQ20" s="61"/>
      <c r="AR20" s="61"/>
      <c r="AS20" s="61"/>
      <c r="AT20" s="61"/>
      <c r="AU20" s="61"/>
      <c r="AV20" s="61"/>
      <c r="AW20" s="61"/>
      <c r="AX20" s="61"/>
      <c r="AY20" s="61"/>
      <c r="AZ20" s="61"/>
      <c r="BA20" s="61"/>
      <c r="BB20" s="61"/>
      <c r="BC20" s="61"/>
      <c r="BD20" s="61"/>
      <c r="BE20" s="61"/>
      <c r="BF20" s="61"/>
      <c r="BG20" s="61"/>
      <c r="BH20" s="61"/>
      <c r="BI20" s="61"/>
      <c r="BJ20" s="61"/>
      <c r="BK20" s="61"/>
      <c r="BL20" s="61"/>
      <c r="BM20" s="61"/>
      <c r="BN20" s="61"/>
      <c r="BO20" s="61"/>
      <c r="BP20" s="61"/>
      <c r="BQ20" s="61"/>
      <c r="BR20" s="61"/>
      <c r="BS20" s="61"/>
      <c r="BT20" s="61"/>
      <c r="BU20" s="61"/>
      <c r="BV20" s="61"/>
      <c r="BW20" s="61"/>
      <c r="BX20" s="61"/>
      <c r="BY20" s="61"/>
      <c r="BZ20" s="61"/>
      <c r="CA20" s="61"/>
      <c r="CB20" s="61"/>
      <c r="CC20" s="61"/>
      <c r="CD20" s="61"/>
      <c r="CE20" s="61"/>
      <c r="CF20" s="61"/>
      <c r="CG20" s="61"/>
      <c r="CH20" s="61"/>
      <c r="CI20" s="61"/>
      <c r="CJ20" s="61"/>
      <c r="CK20" s="61"/>
      <c r="CL20" s="61"/>
      <c r="CM20" s="61"/>
      <c r="CN20" s="61"/>
      <c r="CO20" s="61"/>
      <c r="CP20" s="61"/>
      <c r="CQ20" s="61"/>
      <c r="CR20" s="61"/>
      <c r="CS20" s="61"/>
      <c r="CT20" s="61"/>
      <c r="CU20" s="61"/>
      <c r="CV20" s="61"/>
      <c r="CW20" s="61"/>
      <c r="CX20" s="61"/>
      <c r="CY20" s="61"/>
      <c r="CZ20" s="61"/>
      <c r="DA20" s="61"/>
      <c r="DB20" s="61"/>
      <c r="DC20" s="61"/>
      <c r="DD20" s="61"/>
      <c r="DE20" s="61"/>
      <c r="DF20" s="61"/>
      <c r="DG20" s="61"/>
      <c r="DH20" s="61"/>
      <c r="DI20" s="61"/>
      <c r="DJ20" s="61"/>
      <c r="DK20" s="61"/>
      <c r="DL20" s="61"/>
      <c r="DM20" s="61"/>
      <c r="DN20" s="61"/>
      <c r="DO20" s="61"/>
      <c r="DP20" s="61"/>
      <c r="DQ20" s="61"/>
      <c r="DR20" s="61"/>
      <c r="DS20" s="61"/>
      <c r="DT20" s="61"/>
      <c r="DU20" s="61"/>
      <c r="DV20" s="61"/>
      <c r="DW20" s="61"/>
      <c r="DX20" s="61"/>
      <c r="DY20" s="61"/>
      <c r="DZ20" s="61"/>
      <c r="EA20" s="61"/>
      <c r="EB20" s="61"/>
      <c r="EC20" s="61"/>
      <c r="ED20" s="61"/>
      <c r="EE20" s="61"/>
      <c r="EF20" s="61"/>
      <c r="EG20" s="61"/>
      <c r="EH20" s="61"/>
      <c r="EI20" s="61"/>
      <c r="EJ20" s="61"/>
      <c r="EK20" s="61"/>
      <c r="EL20" s="61"/>
      <c r="EM20" s="61"/>
      <c r="EN20" s="61"/>
      <c r="EO20" s="61"/>
      <c r="EP20" s="61"/>
      <c r="EQ20" s="61"/>
      <c r="ER20" s="61"/>
      <c r="ES20" s="61"/>
      <c r="ET20" s="61"/>
      <c r="EU20" s="61"/>
      <c r="EV20" s="61"/>
      <c r="EW20" s="61"/>
      <c r="EX20" s="61"/>
      <c r="EY20" s="61"/>
      <c r="EZ20" s="61"/>
      <c r="FA20" s="61"/>
      <c r="FB20" s="61"/>
      <c r="FC20" s="61"/>
      <c r="FD20" s="61"/>
      <c r="FE20" s="61"/>
      <c r="FF20" s="61"/>
      <c r="FG20" s="61"/>
      <c r="FH20" s="61"/>
      <c r="FI20" s="61"/>
      <c r="FJ20" s="61"/>
      <c r="FK20" s="61"/>
      <c r="FL20" s="61"/>
      <c r="FM20" s="61"/>
      <c r="FN20" s="61"/>
      <c r="FO20" s="61"/>
      <c r="FP20" s="61"/>
      <c r="FQ20" s="61"/>
      <c r="FR20" s="61"/>
      <c r="FS20" s="61"/>
      <c r="FT20" s="61"/>
      <c r="FU20" s="61"/>
      <c r="FV20" s="61"/>
      <c r="FW20" s="61"/>
      <c r="FX20" s="61"/>
      <c r="FY20" s="61"/>
      <c r="FZ20" s="61"/>
      <c r="GA20" s="61"/>
      <c r="GB20" s="61"/>
      <c r="GC20" s="61"/>
    </row>
    <row r="21" spans="1:185" s="58" customFormat="1" ht="15" customHeight="1" x14ac:dyDescent="0.3">
      <c r="A21" s="86"/>
      <c r="B21" s="28"/>
      <c r="C21" s="24" t="s">
        <v>85</v>
      </c>
      <c r="D21" s="25" t="s">
        <v>20</v>
      </c>
      <c r="E21" s="75">
        <f t="shared" si="8"/>
        <v>0</v>
      </c>
      <c r="F21" s="77">
        <f t="shared" ref="F21:H21" si="10">F8*0.85</f>
        <v>0</v>
      </c>
      <c r="G21" s="77">
        <f t="shared" si="10"/>
        <v>0</v>
      </c>
      <c r="H21" s="77">
        <f t="shared" si="10"/>
        <v>0</v>
      </c>
      <c r="I21" s="77">
        <f>[2]利润版预算!$F20/3</f>
        <v>0</v>
      </c>
      <c r="J21" s="77">
        <f>[2]利润版预算!$F20/3</f>
        <v>0</v>
      </c>
      <c r="K21" s="77">
        <f>[2]利润版预算!$F20/3</f>
        <v>0</v>
      </c>
      <c r="L21" s="77">
        <f>[2]利润版预算!$G20/3</f>
        <v>0</v>
      </c>
      <c r="M21" s="77">
        <f>[2]利润版预算!$G20/3</f>
        <v>0</v>
      </c>
      <c r="N21" s="77">
        <f>[2]利润版预算!$G20/3</f>
        <v>0</v>
      </c>
      <c r="O21" s="77">
        <f>[2]利润版预算!$H20/3</f>
        <v>0</v>
      </c>
      <c r="P21" s="77">
        <f>[2]利润版预算!$H20/3</f>
        <v>0</v>
      </c>
      <c r="Q21" s="77">
        <f>[2]利润版预算!$H20/3</f>
        <v>0</v>
      </c>
      <c r="R21" s="24"/>
      <c r="S21" s="59"/>
      <c r="T21" s="80" t="s">
        <v>89</v>
      </c>
      <c r="U21" s="82">
        <f>U16*0.1</f>
        <v>0.08</v>
      </c>
      <c r="V21" s="82">
        <v>0</v>
      </c>
      <c r="W21" s="82">
        <v>0</v>
      </c>
      <c r="X21" s="82">
        <f t="shared" ref="X21:AF21" si="11">X16*0.1</f>
        <v>0.30678244711263603</v>
      </c>
      <c r="Y21" s="82">
        <f t="shared" si="11"/>
        <v>0.85668822155800395</v>
      </c>
      <c r="Z21" s="82">
        <f t="shared" si="11"/>
        <v>0.67668822155800401</v>
      </c>
      <c r="AA21" s="82">
        <f t="shared" si="11"/>
        <v>0.67668822155800401</v>
      </c>
      <c r="AB21" s="82">
        <f t="shared" si="11"/>
        <v>0.523698113207549</v>
      </c>
      <c r="AC21" s="82">
        <f t="shared" si="11"/>
        <v>0.70369811320754705</v>
      </c>
      <c r="AD21" s="82">
        <f t="shared" si="11"/>
        <v>0.70369811320754705</v>
      </c>
      <c r="AE21" s="82">
        <f t="shared" si="11"/>
        <v>0.736641509433964</v>
      </c>
      <c r="AF21" s="82">
        <f t="shared" si="11"/>
        <v>0.736641509433964</v>
      </c>
      <c r="AG21" s="85">
        <f>SUM(U21:AF21)</f>
        <v>6.0012244702772204</v>
      </c>
      <c r="AH21" s="56"/>
      <c r="AI21" s="56"/>
      <c r="AJ21" s="56"/>
      <c r="AK21" s="56"/>
      <c r="AL21" s="56"/>
      <c r="AM21" s="56"/>
      <c r="AN21" s="56"/>
      <c r="AO21" s="56"/>
      <c r="AP21" s="56"/>
      <c r="AQ21" s="56"/>
      <c r="AR21" s="56"/>
      <c r="AS21" s="56"/>
      <c r="AT21" s="56"/>
      <c r="AU21" s="56"/>
      <c r="AV21" s="56"/>
      <c r="AW21" s="56"/>
      <c r="AX21" s="56"/>
      <c r="AY21" s="56"/>
      <c r="AZ21" s="56"/>
      <c r="BA21" s="56"/>
      <c r="BB21" s="56"/>
      <c r="BC21" s="56"/>
      <c r="BD21" s="56"/>
      <c r="BE21" s="56"/>
      <c r="BF21" s="56"/>
      <c r="BG21" s="56"/>
      <c r="BH21" s="56"/>
      <c r="BI21" s="56"/>
      <c r="BJ21" s="56"/>
      <c r="BK21" s="56"/>
      <c r="BL21" s="56"/>
      <c r="BM21" s="56"/>
      <c r="BN21" s="56"/>
      <c r="BO21" s="56"/>
      <c r="BP21" s="56"/>
      <c r="BQ21" s="56"/>
      <c r="BR21" s="56"/>
      <c r="BS21" s="56"/>
      <c r="BT21" s="56"/>
      <c r="BU21" s="56"/>
      <c r="BV21" s="56"/>
      <c r="BW21" s="56"/>
      <c r="BX21" s="56"/>
      <c r="BY21" s="56"/>
      <c r="BZ21" s="56"/>
      <c r="CA21" s="56"/>
      <c r="CB21" s="56"/>
      <c r="CC21" s="56"/>
      <c r="CD21" s="56"/>
      <c r="CE21" s="56"/>
      <c r="CF21" s="56"/>
      <c r="CG21" s="56"/>
      <c r="CH21" s="56"/>
      <c r="CI21" s="56"/>
      <c r="CJ21" s="56"/>
      <c r="CK21" s="56"/>
      <c r="CL21" s="56"/>
      <c r="CM21" s="56"/>
      <c r="CN21" s="56"/>
      <c r="CO21" s="56"/>
      <c r="CP21" s="56"/>
      <c r="CQ21" s="56"/>
      <c r="CR21" s="56"/>
      <c r="CS21" s="56"/>
      <c r="CT21" s="56"/>
      <c r="CU21" s="56"/>
      <c r="CV21" s="56"/>
      <c r="CW21" s="56"/>
      <c r="CX21" s="56"/>
      <c r="CY21" s="56"/>
      <c r="CZ21" s="56"/>
      <c r="DA21" s="56"/>
      <c r="DB21" s="56"/>
      <c r="DC21" s="56"/>
      <c r="DD21" s="56"/>
      <c r="DE21" s="56"/>
      <c r="DF21" s="56"/>
      <c r="DG21" s="56"/>
      <c r="DH21" s="56"/>
      <c r="DI21" s="56"/>
      <c r="DJ21" s="56"/>
      <c r="DK21" s="56"/>
      <c r="DL21" s="56"/>
      <c r="DM21" s="56"/>
      <c r="DN21" s="56"/>
      <c r="DO21" s="56"/>
      <c r="DP21" s="56"/>
      <c r="DQ21" s="56"/>
      <c r="DR21" s="56"/>
      <c r="DS21" s="56"/>
      <c r="DT21" s="56"/>
      <c r="DU21" s="56"/>
      <c r="DV21" s="56"/>
      <c r="DW21" s="56"/>
      <c r="DX21" s="56"/>
      <c r="DY21" s="56"/>
      <c r="DZ21" s="56"/>
      <c r="EA21" s="56"/>
      <c r="EB21" s="56"/>
      <c r="EC21" s="56"/>
      <c r="ED21" s="56"/>
      <c r="EE21" s="56"/>
      <c r="EF21" s="56"/>
      <c r="EG21" s="56"/>
      <c r="EH21" s="56"/>
      <c r="EI21" s="56"/>
      <c r="EJ21" s="56"/>
      <c r="EK21" s="56"/>
      <c r="EL21" s="56"/>
      <c r="EM21" s="56"/>
      <c r="EN21" s="56"/>
      <c r="EO21" s="56"/>
      <c r="EP21" s="56"/>
      <c r="EQ21" s="56"/>
      <c r="ER21" s="56"/>
      <c r="ES21" s="56"/>
      <c r="ET21" s="56"/>
      <c r="EU21" s="56"/>
      <c r="EV21" s="56"/>
      <c r="EW21" s="56"/>
      <c r="EX21" s="56"/>
      <c r="EY21" s="56"/>
      <c r="EZ21" s="56"/>
      <c r="FA21" s="56"/>
      <c r="FB21" s="56"/>
      <c r="FC21" s="56"/>
      <c r="FD21" s="56"/>
      <c r="FE21" s="56"/>
      <c r="FF21" s="56"/>
      <c r="FG21" s="56"/>
      <c r="FH21" s="56"/>
      <c r="FI21" s="56"/>
      <c r="FJ21" s="56"/>
      <c r="FK21" s="56"/>
      <c r="FL21" s="56"/>
      <c r="FM21" s="56"/>
      <c r="FN21" s="56"/>
      <c r="FO21" s="56"/>
      <c r="FP21" s="56"/>
      <c r="FQ21" s="56"/>
      <c r="FR21" s="56"/>
      <c r="FS21" s="56"/>
      <c r="FT21" s="56"/>
      <c r="FU21" s="56"/>
      <c r="FV21" s="56"/>
      <c r="FW21" s="56"/>
      <c r="FX21" s="56"/>
      <c r="FY21" s="56"/>
      <c r="FZ21" s="56"/>
      <c r="GA21" s="56"/>
      <c r="GB21" s="56"/>
      <c r="GC21" s="56"/>
    </row>
    <row r="22" spans="1:185" s="57" customFormat="1" ht="15" customHeight="1" x14ac:dyDescent="0.3">
      <c r="A22" s="59"/>
      <c r="B22" s="23"/>
      <c r="C22" s="24" t="s">
        <v>90</v>
      </c>
      <c r="D22" s="25" t="s">
        <v>20</v>
      </c>
      <c r="E22" s="75">
        <f t="shared" si="8"/>
        <v>512.43290678124401</v>
      </c>
      <c r="F22" s="77">
        <f>F9*0.65</f>
        <v>0</v>
      </c>
      <c r="G22" s="77">
        <f>G9*0.65</f>
        <v>0</v>
      </c>
      <c r="H22" s="77"/>
      <c r="I22" s="77">
        <f>[2]利润版预算!$F22/3+2.65</f>
        <v>48.754365153496302</v>
      </c>
      <c r="J22" s="79">
        <f>[2]利润版预算!$F22/3+2.65+30</f>
        <v>78.754365153496295</v>
      </c>
      <c r="K22" s="79">
        <f>[2]利润版预算!$F22/3+2.65+30</f>
        <v>78.754365153496295</v>
      </c>
      <c r="L22" s="77">
        <f>[2]利润版预算!$G22/3</f>
        <v>80.044025157232696</v>
      </c>
      <c r="M22" s="77">
        <f>[2]利润版预算!$G22/3</f>
        <v>80.044025157232696</v>
      </c>
      <c r="N22" s="77">
        <f>[2]利润版预算!$G22/3</f>
        <v>80.044025157232696</v>
      </c>
      <c r="O22" s="77">
        <f>[2]利润版预算!$H22/3</f>
        <v>22.012578616352201</v>
      </c>
      <c r="P22" s="77">
        <f>[2]利润版预算!$H22/3</f>
        <v>22.012578616352201</v>
      </c>
      <c r="Q22" s="77">
        <f>[2]利润版预算!$H22/3</f>
        <v>22.012578616352201</v>
      </c>
      <c r="R22" s="74"/>
      <c r="S22" s="59"/>
      <c r="T22" s="80" t="s">
        <v>64</v>
      </c>
      <c r="U22" s="87">
        <f t="shared" ref="U22:AF22" si="12">U16+U21</f>
        <v>0.88</v>
      </c>
      <c r="V22" s="87">
        <f t="shared" si="12"/>
        <v>0</v>
      </c>
      <c r="W22" s="87">
        <f t="shared" si="12"/>
        <v>0</v>
      </c>
      <c r="X22" s="87">
        <f t="shared" si="12"/>
        <v>3.3746069182389902</v>
      </c>
      <c r="Y22" s="87">
        <f t="shared" si="12"/>
        <v>9.42357043713805</v>
      </c>
      <c r="Z22" s="87">
        <f t="shared" si="12"/>
        <v>7.4435704371380398</v>
      </c>
      <c r="AA22" s="87">
        <f t="shared" si="12"/>
        <v>7.4435704371380398</v>
      </c>
      <c r="AB22" s="87">
        <f t="shared" si="12"/>
        <v>5.7606792452830398</v>
      </c>
      <c r="AC22" s="87">
        <f t="shared" si="12"/>
        <v>7.7406792452830198</v>
      </c>
      <c r="AD22" s="87">
        <f t="shared" si="12"/>
        <v>7.7406792452830198</v>
      </c>
      <c r="AE22" s="87">
        <f t="shared" si="12"/>
        <v>8.1030566037736005</v>
      </c>
      <c r="AF22" s="87">
        <f t="shared" si="12"/>
        <v>8.1030566037736005</v>
      </c>
      <c r="AG22" s="85">
        <f>SUM(U22:AF22)</f>
        <v>66.013469173049401</v>
      </c>
      <c r="AH22" s="61"/>
      <c r="AI22" s="61"/>
      <c r="AJ22" s="61"/>
      <c r="AK22" s="61"/>
      <c r="AL22" s="61"/>
      <c r="AM22" s="61"/>
      <c r="AN22" s="61"/>
      <c r="AO22" s="61"/>
      <c r="AP22" s="61"/>
      <c r="AQ22" s="61"/>
      <c r="AR22" s="61"/>
      <c r="AS22" s="61"/>
      <c r="AT22" s="61"/>
      <c r="AU22" s="61"/>
      <c r="AV22" s="61"/>
      <c r="AW22" s="61"/>
      <c r="AX22" s="61"/>
      <c r="AY22" s="61"/>
      <c r="AZ22" s="61"/>
      <c r="BA22" s="61"/>
      <c r="BB22" s="61"/>
      <c r="BC22" s="61"/>
      <c r="BD22" s="61"/>
      <c r="BE22" s="61"/>
      <c r="BF22" s="61"/>
      <c r="BG22" s="61"/>
      <c r="BH22" s="61"/>
      <c r="BI22" s="61"/>
      <c r="BJ22" s="61"/>
      <c r="BK22" s="61"/>
      <c r="BL22" s="61"/>
      <c r="BM22" s="61"/>
      <c r="BN22" s="61"/>
      <c r="BO22" s="61"/>
      <c r="BP22" s="61"/>
      <c r="BQ22" s="61"/>
      <c r="BR22" s="61"/>
      <c r="BS22" s="61"/>
      <c r="BT22" s="61"/>
      <c r="BU22" s="61"/>
      <c r="BV22" s="61"/>
      <c r="BW22" s="61"/>
      <c r="BX22" s="61"/>
      <c r="BY22" s="61"/>
      <c r="BZ22" s="61"/>
      <c r="CA22" s="61"/>
      <c r="CB22" s="61"/>
      <c r="CC22" s="61"/>
      <c r="CD22" s="61"/>
      <c r="CE22" s="61"/>
      <c r="CF22" s="61"/>
      <c r="CG22" s="61"/>
      <c r="CH22" s="61"/>
      <c r="CI22" s="61"/>
      <c r="CJ22" s="61"/>
      <c r="CK22" s="61"/>
      <c r="CL22" s="61"/>
      <c r="CM22" s="61"/>
      <c r="CN22" s="61"/>
      <c r="CO22" s="61"/>
      <c r="CP22" s="61"/>
      <c r="CQ22" s="61"/>
      <c r="CR22" s="61"/>
      <c r="CS22" s="61"/>
      <c r="CT22" s="61"/>
      <c r="CU22" s="61"/>
      <c r="CV22" s="61"/>
      <c r="CW22" s="61"/>
      <c r="CX22" s="61"/>
      <c r="CY22" s="61"/>
      <c r="CZ22" s="61"/>
      <c r="DA22" s="61"/>
      <c r="DB22" s="61"/>
      <c r="DC22" s="61"/>
      <c r="DD22" s="61"/>
      <c r="DE22" s="61"/>
      <c r="DF22" s="61"/>
      <c r="DG22" s="61"/>
      <c r="DH22" s="61"/>
      <c r="DI22" s="61"/>
      <c r="DJ22" s="61"/>
      <c r="DK22" s="61"/>
      <c r="DL22" s="61"/>
      <c r="DM22" s="61"/>
      <c r="DN22" s="61"/>
      <c r="DO22" s="61"/>
      <c r="DP22" s="61"/>
      <c r="DQ22" s="61"/>
      <c r="DR22" s="61"/>
      <c r="DS22" s="61"/>
      <c r="DT22" s="61"/>
      <c r="DU22" s="61"/>
      <c r="DV22" s="61"/>
      <c r="DW22" s="61"/>
      <c r="DX22" s="61"/>
      <c r="DY22" s="61"/>
      <c r="DZ22" s="61"/>
      <c r="EA22" s="61"/>
      <c r="EB22" s="61"/>
      <c r="EC22" s="61"/>
      <c r="ED22" s="61"/>
      <c r="EE22" s="61"/>
      <c r="EF22" s="61"/>
      <c r="EG22" s="61"/>
      <c r="EH22" s="61"/>
      <c r="EI22" s="61"/>
      <c r="EJ22" s="61"/>
      <c r="EK22" s="61"/>
      <c r="EL22" s="61"/>
      <c r="EM22" s="61"/>
      <c r="EN22" s="61"/>
      <c r="EO22" s="61"/>
      <c r="EP22" s="61"/>
      <c r="EQ22" s="61"/>
      <c r="ER22" s="61"/>
      <c r="ES22" s="61"/>
      <c r="ET22" s="61"/>
      <c r="EU22" s="61"/>
      <c r="EV22" s="61"/>
      <c r="EW22" s="61"/>
      <c r="EX22" s="61"/>
      <c r="EY22" s="61"/>
      <c r="EZ22" s="61"/>
      <c r="FA22" s="61"/>
      <c r="FB22" s="61"/>
      <c r="FC22" s="61"/>
      <c r="FD22" s="61"/>
      <c r="FE22" s="61"/>
      <c r="FF22" s="61"/>
      <c r="FG22" s="61"/>
      <c r="FH22" s="61"/>
      <c r="FI22" s="61"/>
      <c r="FJ22" s="61"/>
      <c r="FK22" s="61"/>
      <c r="FL22" s="61"/>
      <c r="FM22" s="61"/>
      <c r="FN22" s="61"/>
      <c r="FO22" s="61"/>
      <c r="FP22" s="61"/>
      <c r="FQ22" s="61"/>
      <c r="FR22" s="61"/>
      <c r="FS22" s="61"/>
      <c r="FT22" s="61"/>
      <c r="FU22" s="61"/>
      <c r="FV22" s="61"/>
      <c r="FW22" s="61"/>
      <c r="FX22" s="61"/>
      <c r="FY22" s="61"/>
      <c r="FZ22" s="61"/>
      <c r="GA22" s="61"/>
      <c r="GB22" s="61"/>
      <c r="GC22" s="61"/>
    </row>
    <row r="23" spans="1:185" ht="15" customHeight="1" x14ac:dyDescent="0.3">
      <c r="B23" s="29">
        <v>2.2999999999999998</v>
      </c>
      <c r="C23" s="74" t="s">
        <v>91</v>
      </c>
      <c r="D23" s="25" t="s">
        <v>20</v>
      </c>
      <c r="E23" s="75">
        <f t="shared" ref="E23:E41" si="13">SUM(F23:Q23)</f>
        <v>6.4412244702772199</v>
      </c>
      <c r="F23" s="39">
        <f>U21</f>
        <v>0.08</v>
      </c>
      <c r="G23" s="39">
        <f t="shared" ref="G23:Q23" si="14">V21</f>
        <v>0</v>
      </c>
      <c r="H23" s="39">
        <f t="shared" si="14"/>
        <v>0</v>
      </c>
      <c r="I23" s="44">
        <f t="shared" si="14"/>
        <v>0.30678244711263603</v>
      </c>
      <c r="J23" s="44">
        <f>Y21+0.22</f>
        <v>1.076688221558</v>
      </c>
      <c r="K23" s="44">
        <f>Z21+0.22</f>
        <v>0.89668822155800398</v>
      </c>
      <c r="L23" s="44">
        <f>AA21</f>
        <v>0.67668822155800401</v>
      </c>
      <c r="M23" s="44">
        <f t="shared" si="14"/>
        <v>0.523698113207549</v>
      </c>
      <c r="N23" s="44">
        <f t="shared" si="14"/>
        <v>0.70369811320754705</v>
      </c>
      <c r="O23" s="44">
        <f t="shared" si="14"/>
        <v>0.70369811320754705</v>
      </c>
      <c r="P23" s="39">
        <f t="shared" si="14"/>
        <v>0.736641509433964</v>
      </c>
      <c r="Q23" s="39">
        <f t="shared" si="14"/>
        <v>0.736641509433964</v>
      </c>
      <c r="R23" s="39"/>
      <c r="T23" s="59"/>
      <c r="U23" s="59"/>
      <c r="V23" s="59"/>
      <c r="W23" s="59"/>
      <c r="X23" s="59"/>
      <c r="Y23" s="59"/>
      <c r="Z23" s="59"/>
      <c r="AA23" s="59"/>
      <c r="AB23" s="59"/>
      <c r="AC23" s="59"/>
      <c r="AD23" s="59"/>
      <c r="AE23" s="59"/>
      <c r="AF23" s="59"/>
      <c r="AG23" s="59"/>
    </row>
    <row r="24" spans="1:185" s="57" customFormat="1" ht="15" customHeight="1" x14ac:dyDescent="0.3">
      <c r="A24" s="59"/>
      <c r="B24" s="23">
        <v>2.4</v>
      </c>
      <c r="C24" s="74" t="s">
        <v>92</v>
      </c>
      <c r="D24" s="25" t="s">
        <v>20</v>
      </c>
      <c r="E24" s="75">
        <f t="shared" si="13"/>
        <v>273.51773599999899</v>
      </c>
      <c r="F24" s="39">
        <f>[3]部门月度费用汇总!C$30</f>
        <v>10.905984</v>
      </c>
      <c r="G24" s="39">
        <f>[3]部门月度费用汇总!D$30</f>
        <v>10.924317333333301</v>
      </c>
      <c r="H24" s="44">
        <f>[3]部门月度费用汇总!E$30</f>
        <v>15.337650666666701</v>
      </c>
      <c r="I24" s="44">
        <f>[3]部门月度费用汇总!F$30-50-36</f>
        <v>15.189317333332999</v>
      </c>
      <c r="J24" s="44">
        <f>[3]部门月度费用汇总!G$30</f>
        <v>10.9393173333333</v>
      </c>
      <c r="K24" s="44">
        <f>[3]部门月度费用汇总!H$30</f>
        <v>11.0193173333333</v>
      </c>
      <c r="L24" s="44">
        <f>[3]部门月度费用汇总!I$30</f>
        <v>21.286905333333301</v>
      </c>
      <c r="M24" s="44">
        <f>[3]部门月度费用汇总!J$30</f>
        <v>11.2769053333333</v>
      </c>
      <c r="N24" s="44">
        <f>[3]部门月度费用汇总!K$30</f>
        <v>11.627005333333299</v>
      </c>
      <c r="O24" s="44">
        <f>[3]部门月度费用汇总!L$30</f>
        <v>21.307005333333301</v>
      </c>
      <c r="P24" s="39">
        <f>[3]部门月度费用汇总!M$30</f>
        <v>11.8170053333333</v>
      </c>
      <c r="Q24" s="44">
        <f>[3]部门月度费用汇总!N$30</f>
        <v>121.88700533333299</v>
      </c>
      <c r="R24" s="39"/>
      <c r="S24" s="59"/>
      <c r="T24" s="59"/>
      <c r="U24" s="59"/>
      <c r="V24" s="59"/>
      <c r="W24" s="59"/>
      <c r="X24" s="59"/>
      <c r="Y24" s="59"/>
      <c r="Z24" s="59"/>
      <c r="AA24" s="59"/>
      <c r="AB24" s="59"/>
      <c r="AC24" s="59"/>
      <c r="AD24" s="59"/>
      <c r="AE24" s="59"/>
      <c r="AF24" s="59"/>
      <c r="AG24" s="59"/>
      <c r="AH24" s="61"/>
      <c r="AI24" s="61"/>
      <c r="AJ24" s="61"/>
      <c r="AK24" s="61"/>
      <c r="AL24" s="61"/>
      <c r="AM24" s="61"/>
      <c r="AN24" s="61"/>
      <c r="AO24" s="61"/>
      <c r="AP24" s="61"/>
      <c r="AQ24" s="61"/>
      <c r="AR24" s="61"/>
      <c r="AS24" s="61"/>
      <c r="AT24" s="61"/>
      <c r="AU24" s="61"/>
      <c r="AV24" s="61"/>
      <c r="AW24" s="61"/>
      <c r="AX24" s="61"/>
      <c r="AY24" s="61"/>
      <c r="AZ24" s="61"/>
      <c r="BA24" s="61"/>
      <c r="BB24" s="61"/>
      <c r="BC24" s="61"/>
      <c r="BD24" s="61"/>
      <c r="BE24" s="61"/>
      <c r="BF24" s="61"/>
      <c r="BG24" s="61"/>
      <c r="BH24" s="61"/>
      <c r="BI24" s="61"/>
      <c r="BJ24" s="61"/>
      <c r="BK24" s="61"/>
      <c r="BL24" s="61"/>
      <c r="BM24" s="61"/>
      <c r="BN24" s="61"/>
      <c r="BO24" s="61"/>
      <c r="BP24" s="61"/>
      <c r="BQ24" s="61"/>
      <c r="BR24" s="61"/>
      <c r="BS24" s="61"/>
      <c r="BT24" s="61"/>
      <c r="BU24" s="61"/>
      <c r="BV24" s="61"/>
      <c r="BW24" s="61"/>
      <c r="BX24" s="61"/>
      <c r="BY24" s="61"/>
      <c r="BZ24" s="61"/>
      <c r="CA24" s="61"/>
      <c r="CB24" s="61"/>
      <c r="CC24" s="61"/>
      <c r="CD24" s="61"/>
      <c r="CE24" s="61"/>
      <c r="CF24" s="61"/>
      <c r="CG24" s="61"/>
      <c r="CH24" s="61"/>
      <c r="CI24" s="61"/>
      <c r="CJ24" s="61"/>
      <c r="CK24" s="61"/>
      <c r="CL24" s="61"/>
      <c r="CM24" s="61"/>
      <c r="CN24" s="61"/>
      <c r="CO24" s="61"/>
      <c r="CP24" s="61"/>
      <c r="CQ24" s="61"/>
      <c r="CR24" s="61"/>
      <c r="CS24" s="61"/>
      <c r="CT24" s="61"/>
      <c r="CU24" s="61"/>
      <c r="CV24" s="61"/>
      <c r="CW24" s="61"/>
      <c r="CX24" s="61"/>
      <c r="CY24" s="61"/>
      <c r="CZ24" s="61"/>
      <c r="DA24" s="61"/>
      <c r="DB24" s="61"/>
      <c r="DC24" s="61"/>
      <c r="DD24" s="61"/>
      <c r="DE24" s="61"/>
      <c r="DF24" s="61"/>
      <c r="DG24" s="61"/>
      <c r="DH24" s="61"/>
      <c r="DI24" s="61"/>
      <c r="DJ24" s="61"/>
      <c r="DK24" s="61"/>
      <c r="DL24" s="61"/>
      <c r="DM24" s="61"/>
      <c r="DN24" s="61"/>
      <c r="DO24" s="61"/>
      <c r="DP24" s="61"/>
      <c r="DQ24" s="61"/>
      <c r="DR24" s="61"/>
      <c r="DS24" s="61"/>
      <c r="DT24" s="61"/>
      <c r="DU24" s="61"/>
      <c r="DV24" s="61"/>
      <c r="DW24" s="61"/>
      <c r="DX24" s="61"/>
      <c r="DY24" s="61"/>
      <c r="DZ24" s="61"/>
      <c r="EA24" s="61"/>
      <c r="EB24" s="61"/>
      <c r="EC24" s="61"/>
      <c r="ED24" s="61"/>
      <c r="EE24" s="61"/>
      <c r="EF24" s="61"/>
      <c r="EG24" s="61"/>
      <c r="EH24" s="61"/>
      <c r="EI24" s="61"/>
      <c r="EJ24" s="61"/>
      <c r="EK24" s="61"/>
      <c r="EL24" s="61"/>
      <c r="EM24" s="61"/>
      <c r="EN24" s="61"/>
      <c r="EO24" s="61"/>
      <c r="EP24" s="61"/>
      <c r="EQ24" s="61"/>
      <c r="ER24" s="61"/>
      <c r="ES24" s="61"/>
      <c r="ET24" s="61"/>
      <c r="EU24" s="61"/>
      <c r="EV24" s="61"/>
      <c r="EW24" s="61"/>
      <c r="EX24" s="61"/>
      <c r="EY24" s="61"/>
      <c r="EZ24" s="61"/>
      <c r="FA24" s="61"/>
      <c r="FB24" s="61"/>
      <c r="FC24" s="61"/>
      <c r="FD24" s="61"/>
      <c r="FE24" s="61"/>
      <c r="FF24" s="61"/>
      <c r="FG24" s="61"/>
      <c r="FH24" s="61"/>
      <c r="FI24" s="61"/>
      <c r="FJ24" s="61"/>
      <c r="FK24" s="61"/>
      <c r="FL24" s="61"/>
      <c r="FM24" s="61"/>
      <c r="FN24" s="61"/>
      <c r="FO24" s="61"/>
      <c r="FP24" s="61"/>
      <c r="FQ24" s="61"/>
      <c r="FR24" s="61"/>
      <c r="FS24" s="61"/>
      <c r="FT24" s="61"/>
      <c r="FU24" s="61"/>
      <c r="FV24" s="61"/>
      <c r="FW24" s="61"/>
      <c r="FX24" s="61"/>
      <c r="FY24" s="61"/>
      <c r="FZ24" s="61"/>
      <c r="GA24" s="61"/>
      <c r="GB24" s="61"/>
      <c r="GC24" s="61"/>
    </row>
    <row r="25" spans="1:185" s="57" customFormat="1" ht="15" customHeight="1" x14ac:dyDescent="0.3">
      <c r="A25" s="59"/>
      <c r="B25" s="23"/>
      <c r="C25" s="74" t="s">
        <v>93</v>
      </c>
      <c r="D25" s="25" t="s">
        <v>20</v>
      </c>
      <c r="E25" s="75">
        <f t="shared" si="13"/>
        <v>0</v>
      </c>
      <c r="F25" s="39"/>
      <c r="G25" s="39"/>
      <c r="H25" s="39"/>
      <c r="I25" s="44"/>
      <c r="J25" s="44"/>
      <c r="K25" s="44"/>
      <c r="L25" s="44"/>
      <c r="M25" s="44"/>
      <c r="N25" s="44"/>
      <c r="O25" s="44"/>
      <c r="P25" s="39"/>
      <c r="Q25" s="39"/>
      <c r="R25" s="74"/>
      <c r="S25" s="59"/>
      <c r="T25" s="59"/>
      <c r="U25" s="59"/>
      <c r="V25" s="59"/>
      <c r="W25" s="59"/>
      <c r="X25" s="59"/>
      <c r="Y25" s="59"/>
      <c r="Z25" s="59"/>
      <c r="AA25" s="59"/>
      <c r="AB25" s="59"/>
      <c r="AC25" s="59"/>
      <c r="AD25" s="59"/>
      <c r="AE25" s="59"/>
      <c r="AF25" s="59"/>
      <c r="AG25" s="59"/>
      <c r="AH25" s="61"/>
      <c r="AI25" s="61"/>
      <c r="AJ25" s="61"/>
      <c r="AK25" s="61"/>
      <c r="AL25" s="61"/>
      <c r="AM25" s="61"/>
      <c r="AN25" s="61"/>
      <c r="AO25" s="61"/>
      <c r="AP25" s="61"/>
      <c r="AQ25" s="61"/>
      <c r="AR25" s="61"/>
      <c r="AS25" s="61"/>
      <c r="AT25" s="61"/>
      <c r="AU25" s="61"/>
      <c r="AV25" s="61"/>
      <c r="AW25" s="61"/>
      <c r="AX25" s="61"/>
      <c r="AY25" s="61"/>
      <c r="AZ25" s="61"/>
      <c r="BA25" s="61"/>
      <c r="BB25" s="61"/>
      <c r="BC25" s="61"/>
      <c r="BD25" s="61"/>
      <c r="BE25" s="61"/>
      <c r="BF25" s="61"/>
      <c r="BG25" s="61"/>
      <c r="BH25" s="61"/>
      <c r="BI25" s="61"/>
      <c r="BJ25" s="61"/>
      <c r="BK25" s="61"/>
      <c r="BL25" s="61"/>
      <c r="BM25" s="61"/>
      <c r="BN25" s="61"/>
      <c r="BO25" s="61"/>
      <c r="BP25" s="61"/>
      <c r="BQ25" s="61"/>
      <c r="BR25" s="61"/>
      <c r="BS25" s="61"/>
      <c r="BT25" s="61"/>
      <c r="BU25" s="61"/>
      <c r="BV25" s="61"/>
      <c r="BW25" s="61"/>
      <c r="BX25" s="61"/>
      <c r="BY25" s="61"/>
      <c r="BZ25" s="61"/>
      <c r="CA25" s="61"/>
      <c r="CB25" s="61"/>
      <c r="CC25" s="61"/>
      <c r="CD25" s="61"/>
      <c r="CE25" s="61"/>
      <c r="CF25" s="61"/>
      <c r="CG25" s="61"/>
      <c r="CH25" s="61"/>
      <c r="CI25" s="61"/>
      <c r="CJ25" s="61"/>
      <c r="CK25" s="61"/>
      <c r="CL25" s="61"/>
      <c r="CM25" s="61"/>
      <c r="CN25" s="61"/>
      <c r="CO25" s="61"/>
      <c r="CP25" s="61"/>
      <c r="CQ25" s="61"/>
      <c r="CR25" s="61"/>
      <c r="CS25" s="61"/>
      <c r="CT25" s="61"/>
      <c r="CU25" s="61"/>
      <c r="CV25" s="61"/>
      <c r="CW25" s="61"/>
      <c r="CX25" s="61"/>
      <c r="CY25" s="61"/>
      <c r="CZ25" s="61"/>
      <c r="DA25" s="61"/>
      <c r="DB25" s="61"/>
      <c r="DC25" s="61"/>
      <c r="DD25" s="61"/>
      <c r="DE25" s="61"/>
      <c r="DF25" s="61"/>
      <c r="DG25" s="61"/>
      <c r="DH25" s="61"/>
      <c r="DI25" s="61"/>
      <c r="DJ25" s="61"/>
      <c r="DK25" s="61"/>
      <c r="DL25" s="61"/>
      <c r="DM25" s="61"/>
      <c r="DN25" s="61"/>
      <c r="DO25" s="61"/>
      <c r="DP25" s="61"/>
      <c r="DQ25" s="61"/>
      <c r="DR25" s="61"/>
      <c r="DS25" s="61"/>
      <c r="DT25" s="61"/>
      <c r="DU25" s="61"/>
      <c r="DV25" s="61"/>
      <c r="DW25" s="61"/>
      <c r="DX25" s="61"/>
      <c r="DY25" s="61"/>
      <c r="DZ25" s="61"/>
      <c r="EA25" s="61"/>
      <c r="EB25" s="61"/>
      <c r="EC25" s="61"/>
      <c r="ED25" s="61"/>
      <c r="EE25" s="61"/>
      <c r="EF25" s="61"/>
      <c r="EG25" s="61"/>
      <c r="EH25" s="61"/>
      <c r="EI25" s="61"/>
      <c r="EJ25" s="61"/>
      <c r="EK25" s="61"/>
      <c r="EL25" s="61"/>
      <c r="EM25" s="61"/>
      <c r="EN25" s="61"/>
      <c r="EO25" s="61"/>
      <c r="EP25" s="61"/>
      <c r="EQ25" s="61"/>
      <c r="ER25" s="61"/>
      <c r="ES25" s="61"/>
      <c r="ET25" s="61"/>
      <c r="EU25" s="61"/>
      <c r="EV25" s="61"/>
      <c r="EW25" s="61"/>
      <c r="EX25" s="61"/>
      <c r="EY25" s="61"/>
      <c r="EZ25" s="61"/>
      <c r="FA25" s="61"/>
      <c r="FB25" s="61"/>
      <c r="FC25" s="61"/>
      <c r="FD25" s="61"/>
      <c r="FE25" s="61"/>
      <c r="FF25" s="61"/>
      <c r="FG25" s="61"/>
      <c r="FH25" s="61"/>
      <c r="FI25" s="61"/>
      <c r="FJ25" s="61"/>
      <c r="FK25" s="61"/>
      <c r="FL25" s="61"/>
      <c r="FM25" s="61"/>
      <c r="FN25" s="61"/>
      <c r="FO25" s="61"/>
      <c r="FP25" s="61"/>
      <c r="FQ25" s="61"/>
      <c r="FR25" s="61"/>
      <c r="FS25" s="61"/>
      <c r="FT25" s="61"/>
      <c r="FU25" s="61"/>
      <c r="FV25" s="61"/>
      <c r="FW25" s="61"/>
      <c r="FX25" s="61"/>
      <c r="FY25" s="61"/>
      <c r="FZ25" s="61"/>
      <c r="GA25" s="61"/>
      <c r="GB25" s="61"/>
      <c r="GC25" s="61"/>
    </row>
    <row r="26" spans="1:185" s="57" customFormat="1" ht="15" customHeight="1" x14ac:dyDescent="0.3">
      <c r="A26" s="59"/>
      <c r="B26" s="23"/>
      <c r="C26" s="74" t="s">
        <v>94</v>
      </c>
      <c r="D26" s="25" t="s">
        <v>20</v>
      </c>
      <c r="E26" s="75">
        <f t="shared" si="13"/>
        <v>0</v>
      </c>
      <c r="F26" s="39"/>
      <c r="G26" s="39"/>
      <c r="H26" s="39"/>
      <c r="I26" s="44"/>
      <c r="J26" s="44"/>
      <c r="K26" s="44"/>
      <c r="L26" s="44"/>
      <c r="M26" s="44"/>
      <c r="N26" s="44"/>
      <c r="O26" s="44"/>
      <c r="P26" s="39"/>
      <c r="Q26" s="39"/>
      <c r="R26" s="74"/>
      <c r="S26" s="59"/>
      <c r="T26" s="59"/>
      <c r="U26" s="59"/>
      <c r="V26" s="59"/>
      <c r="W26" s="59"/>
      <c r="X26" s="59"/>
      <c r="Y26" s="59"/>
      <c r="Z26" s="59"/>
      <c r="AA26" s="59"/>
      <c r="AB26" s="59"/>
      <c r="AC26" s="59"/>
      <c r="AD26" s="59"/>
      <c r="AE26" s="59"/>
      <c r="AF26" s="59"/>
      <c r="AG26" s="59"/>
      <c r="AH26" s="61"/>
      <c r="AI26" s="61"/>
      <c r="AJ26" s="61"/>
      <c r="AK26" s="61"/>
      <c r="AL26" s="61"/>
      <c r="AM26" s="61"/>
      <c r="AN26" s="61"/>
      <c r="AO26" s="61"/>
      <c r="AP26" s="61"/>
      <c r="AQ26" s="61"/>
      <c r="AR26" s="61"/>
      <c r="AS26" s="61"/>
      <c r="AT26" s="61"/>
      <c r="AU26" s="61"/>
      <c r="AV26" s="61"/>
      <c r="AW26" s="61"/>
      <c r="AX26" s="61"/>
      <c r="AY26" s="61"/>
      <c r="AZ26" s="61"/>
      <c r="BA26" s="61"/>
      <c r="BB26" s="61"/>
      <c r="BC26" s="61"/>
      <c r="BD26" s="61"/>
      <c r="BE26" s="61"/>
      <c r="BF26" s="61"/>
      <c r="BG26" s="61"/>
      <c r="BH26" s="61"/>
      <c r="BI26" s="61"/>
      <c r="BJ26" s="61"/>
      <c r="BK26" s="61"/>
      <c r="BL26" s="61"/>
      <c r="BM26" s="61"/>
      <c r="BN26" s="61"/>
      <c r="BO26" s="61"/>
      <c r="BP26" s="61"/>
      <c r="BQ26" s="61"/>
      <c r="BR26" s="61"/>
      <c r="BS26" s="61"/>
      <c r="BT26" s="61"/>
      <c r="BU26" s="61"/>
      <c r="BV26" s="61"/>
      <c r="BW26" s="61"/>
      <c r="BX26" s="61"/>
      <c r="BY26" s="61"/>
      <c r="BZ26" s="61"/>
      <c r="CA26" s="61"/>
      <c r="CB26" s="61"/>
      <c r="CC26" s="61"/>
      <c r="CD26" s="61"/>
      <c r="CE26" s="61"/>
      <c r="CF26" s="61"/>
      <c r="CG26" s="61"/>
      <c r="CH26" s="61"/>
      <c r="CI26" s="61"/>
      <c r="CJ26" s="61"/>
      <c r="CK26" s="61"/>
      <c r="CL26" s="61"/>
      <c r="CM26" s="61"/>
      <c r="CN26" s="61"/>
      <c r="CO26" s="61"/>
      <c r="CP26" s="61"/>
      <c r="CQ26" s="61"/>
      <c r="CR26" s="61"/>
      <c r="CS26" s="61"/>
      <c r="CT26" s="61"/>
      <c r="CU26" s="61"/>
      <c r="CV26" s="61"/>
      <c r="CW26" s="61"/>
      <c r="CX26" s="61"/>
      <c r="CY26" s="61"/>
      <c r="CZ26" s="61"/>
      <c r="DA26" s="61"/>
      <c r="DB26" s="61"/>
      <c r="DC26" s="61"/>
      <c r="DD26" s="61"/>
      <c r="DE26" s="61"/>
      <c r="DF26" s="61"/>
      <c r="DG26" s="61"/>
      <c r="DH26" s="61"/>
      <c r="DI26" s="61"/>
      <c r="DJ26" s="61"/>
      <c r="DK26" s="61"/>
      <c r="DL26" s="61"/>
      <c r="DM26" s="61"/>
      <c r="DN26" s="61"/>
      <c r="DO26" s="61"/>
      <c r="DP26" s="61"/>
      <c r="DQ26" s="61"/>
      <c r="DR26" s="61"/>
      <c r="DS26" s="61"/>
      <c r="DT26" s="61"/>
      <c r="DU26" s="61"/>
      <c r="DV26" s="61"/>
      <c r="DW26" s="61"/>
      <c r="DX26" s="61"/>
      <c r="DY26" s="61"/>
      <c r="DZ26" s="61"/>
      <c r="EA26" s="61"/>
      <c r="EB26" s="61"/>
      <c r="EC26" s="61"/>
      <c r="ED26" s="61"/>
      <c r="EE26" s="61"/>
      <c r="EF26" s="61"/>
      <c r="EG26" s="61"/>
      <c r="EH26" s="61"/>
      <c r="EI26" s="61"/>
      <c r="EJ26" s="61"/>
      <c r="EK26" s="61"/>
      <c r="EL26" s="61"/>
      <c r="EM26" s="61"/>
      <c r="EN26" s="61"/>
      <c r="EO26" s="61"/>
      <c r="EP26" s="61"/>
      <c r="EQ26" s="61"/>
      <c r="ER26" s="61"/>
      <c r="ES26" s="61"/>
      <c r="ET26" s="61"/>
      <c r="EU26" s="61"/>
      <c r="EV26" s="61"/>
      <c r="EW26" s="61"/>
      <c r="EX26" s="61"/>
      <c r="EY26" s="61"/>
      <c r="EZ26" s="61"/>
      <c r="FA26" s="61"/>
      <c r="FB26" s="61"/>
      <c r="FC26" s="61"/>
      <c r="FD26" s="61"/>
      <c r="FE26" s="61"/>
      <c r="FF26" s="61"/>
      <c r="FG26" s="61"/>
      <c r="FH26" s="61"/>
      <c r="FI26" s="61"/>
      <c r="FJ26" s="61"/>
      <c r="FK26" s="61"/>
      <c r="FL26" s="61"/>
      <c r="FM26" s="61"/>
      <c r="FN26" s="61"/>
      <c r="FO26" s="61"/>
      <c r="FP26" s="61"/>
      <c r="FQ26" s="61"/>
      <c r="FR26" s="61"/>
      <c r="FS26" s="61"/>
      <c r="FT26" s="61"/>
      <c r="FU26" s="61"/>
      <c r="FV26" s="61"/>
      <c r="FW26" s="61"/>
      <c r="FX26" s="61"/>
      <c r="FY26" s="61"/>
      <c r="FZ26" s="61"/>
      <c r="GA26" s="61"/>
      <c r="GB26" s="61"/>
      <c r="GC26" s="61"/>
    </row>
    <row r="27" spans="1:185" s="57" customFormat="1" ht="16" customHeight="1" x14ac:dyDescent="0.3">
      <c r="A27" s="59"/>
      <c r="B27" s="23">
        <v>2.5</v>
      </c>
      <c r="C27" s="74" t="s">
        <v>95</v>
      </c>
      <c r="D27" s="25" t="s">
        <v>20</v>
      </c>
      <c r="E27" s="75">
        <f t="shared" si="13"/>
        <v>648.05234147166698</v>
      </c>
      <c r="F27" s="44">
        <f>[3]部门月度费用汇总!C$31</f>
        <v>49.077441524999998</v>
      </c>
      <c r="G27" s="44">
        <f>[3]部门月度费用汇总!D$31</f>
        <v>43.581156833333303</v>
      </c>
      <c r="H27" s="44">
        <f>[3]部门月度费用汇总!E$31</f>
        <v>45.862485256666702</v>
      </c>
      <c r="I27" s="44">
        <f>[3]部门月度费用汇总!F$31</f>
        <v>49.392586893333302</v>
      </c>
      <c r="J27" s="44">
        <f>([3]部门月度费用汇总!G$31)+9</f>
        <v>54.4255852566667</v>
      </c>
      <c r="K27" s="44">
        <f>([3]部门月度费用汇总!H$31)+9</f>
        <v>52.515320226666702</v>
      </c>
      <c r="L27" s="44">
        <f>([3]部门月度费用汇总!I$31)+9</f>
        <v>78.867156923333297</v>
      </c>
      <c r="M27" s="44">
        <f>([3]部门月度费用汇总!J$31)+9</f>
        <v>54.000556923333299</v>
      </c>
      <c r="N27" s="44">
        <f>([3]部门月度费用汇总!K$31)+9</f>
        <v>55.010491893333302</v>
      </c>
      <c r="O27" s="44">
        <f>([3]部门月度费用汇总!L$31)+9</f>
        <v>55.920356923333301</v>
      </c>
      <c r="P27" s="44">
        <f>([3]部门月度费用汇总!M$31)+9</f>
        <v>55.677091893333298</v>
      </c>
      <c r="Q27" s="44">
        <f>([3]部门月度费用汇总!N$31)+9</f>
        <v>53.722110923333297</v>
      </c>
      <c r="R27" s="74"/>
      <c r="S27" s="59"/>
      <c r="T27" s="61"/>
      <c r="U27" s="61"/>
      <c r="V27" s="61"/>
      <c r="W27" s="61"/>
      <c r="X27" s="61"/>
      <c r="Y27" s="61"/>
      <c r="Z27" s="61"/>
      <c r="AA27" s="61"/>
      <c r="AB27" s="61"/>
      <c r="AC27" s="61"/>
      <c r="AD27" s="61"/>
      <c r="AE27" s="61"/>
      <c r="AF27" s="61"/>
      <c r="AG27" s="61"/>
      <c r="AH27" s="61"/>
      <c r="AI27" s="61"/>
      <c r="AJ27" s="61"/>
      <c r="AK27" s="61"/>
      <c r="AL27" s="61"/>
      <c r="AM27" s="61"/>
      <c r="AN27" s="61"/>
      <c r="AO27" s="61"/>
      <c r="AP27" s="61"/>
      <c r="AQ27" s="61"/>
      <c r="AR27" s="61"/>
      <c r="AS27" s="61"/>
      <c r="AT27" s="61"/>
      <c r="AU27" s="61"/>
      <c r="AV27" s="61"/>
      <c r="AW27" s="61"/>
      <c r="AX27" s="61"/>
      <c r="AY27" s="61"/>
      <c r="AZ27" s="61"/>
      <c r="BA27" s="61"/>
      <c r="BB27" s="61"/>
      <c r="BC27" s="61"/>
      <c r="BD27" s="61"/>
      <c r="BE27" s="61"/>
      <c r="BF27" s="61"/>
      <c r="BG27" s="61"/>
      <c r="BH27" s="61"/>
      <c r="BI27" s="61"/>
      <c r="BJ27" s="61"/>
      <c r="BK27" s="61"/>
      <c r="BL27" s="61"/>
      <c r="BM27" s="61"/>
      <c r="BN27" s="61"/>
      <c r="BO27" s="61"/>
      <c r="BP27" s="61"/>
      <c r="BQ27" s="61"/>
      <c r="BR27" s="61"/>
      <c r="BS27" s="61"/>
      <c r="BT27" s="61"/>
      <c r="BU27" s="61"/>
      <c r="BV27" s="61"/>
      <c r="BW27" s="61"/>
      <c r="BX27" s="61"/>
      <c r="BY27" s="61"/>
      <c r="BZ27" s="61"/>
      <c r="CA27" s="61"/>
      <c r="CB27" s="61"/>
      <c r="CC27" s="61"/>
      <c r="CD27" s="61"/>
      <c r="CE27" s="61"/>
      <c r="CF27" s="61"/>
      <c r="CG27" s="61"/>
      <c r="CH27" s="61"/>
      <c r="CI27" s="61"/>
      <c r="CJ27" s="61"/>
      <c r="CK27" s="61"/>
      <c r="CL27" s="61"/>
      <c r="CM27" s="61"/>
      <c r="CN27" s="61"/>
      <c r="CO27" s="61"/>
      <c r="CP27" s="61"/>
      <c r="CQ27" s="61"/>
      <c r="CR27" s="61"/>
      <c r="CS27" s="61"/>
      <c r="CT27" s="61"/>
      <c r="CU27" s="61"/>
      <c r="CV27" s="61"/>
      <c r="CW27" s="61"/>
      <c r="CX27" s="61"/>
      <c r="CY27" s="61"/>
      <c r="CZ27" s="61"/>
      <c r="DA27" s="61"/>
      <c r="DB27" s="61"/>
      <c r="DC27" s="61"/>
      <c r="DD27" s="61"/>
      <c r="DE27" s="61"/>
      <c r="DF27" s="61"/>
      <c r="DG27" s="61"/>
      <c r="DH27" s="61"/>
      <c r="DI27" s="61"/>
      <c r="DJ27" s="61"/>
      <c r="DK27" s="61"/>
      <c r="DL27" s="61"/>
      <c r="DM27" s="61"/>
      <c r="DN27" s="61"/>
      <c r="DO27" s="61"/>
      <c r="DP27" s="61"/>
      <c r="DQ27" s="61"/>
      <c r="DR27" s="61"/>
      <c r="DS27" s="61"/>
      <c r="DT27" s="61"/>
      <c r="DU27" s="61"/>
      <c r="DV27" s="61"/>
      <c r="DW27" s="61"/>
      <c r="DX27" s="61"/>
      <c r="DY27" s="61"/>
      <c r="DZ27" s="61"/>
      <c r="EA27" s="61"/>
      <c r="EB27" s="61"/>
      <c r="EC27" s="61"/>
      <c r="ED27" s="61"/>
      <c r="EE27" s="61"/>
      <c r="EF27" s="61"/>
      <c r="EG27" s="61"/>
      <c r="EH27" s="61"/>
      <c r="EI27" s="61"/>
      <c r="EJ27" s="61"/>
      <c r="EK27" s="61"/>
      <c r="EL27" s="61"/>
      <c r="EM27" s="61"/>
      <c r="EN27" s="61"/>
      <c r="EO27" s="61"/>
      <c r="EP27" s="61"/>
      <c r="EQ27" s="61"/>
      <c r="ER27" s="61"/>
      <c r="ES27" s="61"/>
      <c r="ET27" s="61"/>
      <c r="EU27" s="61"/>
      <c r="EV27" s="61"/>
      <c r="EW27" s="61"/>
      <c r="EX27" s="61"/>
      <c r="EY27" s="61"/>
      <c r="EZ27" s="61"/>
      <c r="FA27" s="61"/>
      <c r="FB27" s="61"/>
      <c r="FC27" s="61"/>
      <c r="FD27" s="61"/>
      <c r="FE27" s="61"/>
      <c r="FF27" s="61"/>
      <c r="FG27" s="61"/>
      <c r="FH27" s="61"/>
      <c r="FI27" s="61"/>
      <c r="FJ27" s="61"/>
      <c r="FK27" s="61"/>
      <c r="FL27" s="61"/>
      <c r="FM27" s="61"/>
      <c r="FN27" s="61"/>
      <c r="FO27" s="61"/>
      <c r="FP27" s="61"/>
      <c r="FQ27" s="61"/>
      <c r="FR27" s="61"/>
      <c r="FS27" s="61"/>
      <c r="FT27" s="61"/>
      <c r="FU27" s="61"/>
      <c r="FV27" s="61"/>
      <c r="FW27" s="61"/>
      <c r="FX27" s="61"/>
      <c r="FY27" s="61"/>
      <c r="FZ27" s="61"/>
      <c r="GA27" s="61"/>
      <c r="GB27" s="61"/>
      <c r="GC27" s="61"/>
    </row>
    <row r="28" spans="1:185" s="57" customFormat="1" ht="15" customHeight="1" x14ac:dyDescent="0.3">
      <c r="A28" s="59"/>
      <c r="B28" s="23"/>
      <c r="C28" s="74" t="s">
        <v>93</v>
      </c>
      <c r="D28" s="25" t="s">
        <v>20</v>
      </c>
      <c r="E28" s="75">
        <f t="shared" si="13"/>
        <v>0</v>
      </c>
      <c r="F28" s="44"/>
      <c r="G28" s="44"/>
      <c r="H28" s="44"/>
      <c r="I28" s="44"/>
      <c r="J28" s="44"/>
      <c r="K28" s="44"/>
      <c r="L28" s="44"/>
      <c r="M28" s="44"/>
      <c r="N28" s="44"/>
      <c r="O28" s="44"/>
      <c r="P28" s="44"/>
      <c r="Q28" s="44"/>
      <c r="R28" s="74"/>
      <c r="S28" s="59"/>
      <c r="T28" s="61"/>
      <c r="U28" s="61"/>
      <c r="V28" s="61"/>
      <c r="W28" s="61"/>
      <c r="X28" s="61"/>
      <c r="Y28" s="61"/>
      <c r="Z28" s="61"/>
      <c r="AA28" s="61"/>
      <c r="AB28" s="61"/>
      <c r="AC28" s="61"/>
      <c r="AD28" s="61"/>
      <c r="AE28" s="61"/>
      <c r="AF28" s="61"/>
      <c r="AG28" s="61"/>
      <c r="AH28" s="61"/>
      <c r="AI28" s="61"/>
      <c r="AJ28" s="61"/>
      <c r="AK28" s="61"/>
      <c r="AL28" s="61"/>
      <c r="AM28" s="61"/>
      <c r="AN28" s="61"/>
      <c r="AO28" s="61"/>
      <c r="AP28" s="61"/>
      <c r="AQ28" s="61"/>
      <c r="AR28" s="61"/>
      <c r="AS28" s="61"/>
      <c r="AT28" s="61"/>
      <c r="AU28" s="61"/>
      <c r="AV28" s="61"/>
      <c r="AW28" s="61"/>
      <c r="AX28" s="61"/>
      <c r="AY28" s="61"/>
      <c r="AZ28" s="61"/>
      <c r="BA28" s="61"/>
      <c r="BB28" s="61"/>
      <c r="BC28" s="61"/>
      <c r="BD28" s="61"/>
      <c r="BE28" s="61"/>
      <c r="BF28" s="61"/>
      <c r="BG28" s="61"/>
      <c r="BH28" s="61"/>
      <c r="BI28" s="61"/>
      <c r="BJ28" s="61"/>
      <c r="BK28" s="61"/>
      <c r="BL28" s="61"/>
      <c r="BM28" s="61"/>
      <c r="BN28" s="61"/>
      <c r="BO28" s="61"/>
      <c r="BP28" s="61"/>
      <c r="BQ28" s="61"/>
      <c r="BR28" s="61"/>
      <c r="BS28" s="61"/>
      <c r="BT28" s="61"/>
      <c r="BU28" s="61"/>
      <c r="BV28" s="61"/>
      <c r="BW28" s="61"/>
      <c r="BX28" s="61"/>
      <c r="BY28" s="61"/>
      <c r="BZ28" s="61"/>
      <c r="CA28" s="61"/>
      <c r="CB28" s="61"/>
      <c r="CC28" s="61"/>
      <c r="CD28" s="61"/>
      <c r="CE28" s="61"/>
      <c r="CF28" s="61"/>
      <c r="CG28" s="61"/>
      <c r="CH28" s="61"/>
      <c r="CI28" s="61"/>
      <c r="CJ28" s="61"/>
      <c r="CK28" s="61"/>
      <c r="CL28" s="61"/>
      <c r="CM28" s="61"/>
      <c r="CN28" s="61"/>
      <c r="CO28" s="61"/>
      <c r="CP28" s="61"/>
      <c r="CQ28" s="61"/>
      <c r="CR28" s="61"/>
      <c r="CS28" s="61"/>
      <c r="CT28" s="61"/>
      <c r="CU28" s="61"/>
      <c r="CV28" s="61"/>
      <c r="CW28" s="61"/>
      <c r="CX28" s="61"/>
      <c r="CY28" s="61"/>
      <c r="CZ28" s="61"/>
      <c r="DA28" s="61"/>
      <c r="DB28" s="61"/>
      <c r="DC28" s="61"/>
      <c r="DD28" s="61"/>
      <c r="DE28" s="61"/>
      <c r="DF28" s="61"/>
      <c r="DG28" s="61"/>
      <c r="DH28" s="61"/>
      <c r="DI28" s="61"/>
      <c r="DJ28" s="61"/>
      <c r="DK28" s="61"/>
      <c r="DL28" s="61"/>
      <c r="DM28" s="61"/>
      <c r="DN28" s="61"/>
      <c r="DO28" s="61"/>
      <c r="DP28" s="61"/>
      <c r="DQ28" s="61"/>
      <c r="DR28" s="61"/>
      <c r="DS28" s="61"/>
      <c r="DT28" s="61"/>
      <c r="DU28" s="61"/>
      <c r="DV28" s="61"/>
      <c r="DW28" s="61"/>
      <c r="DX28" s="61"/>
      <c r="DY28" s="61"/>
      <c r="DZ28" s="61"/>
      <c r="EA28" s="61"/>
      <c r="EB28" s="61"/>
      <c r="EC28" s="61"/>
      <c r="ED28" s="61"/>
      <c r="EE28" s="61"/>
      <c r="EF28" s="61"/>
      <c r="EG28" s="61"/>
      <c r="EH28" s="61"/>
      <c r="EI28" s="61"/>
      <c r="EJ28" s="61"/>
      <c r="EK28" s="61"/>
      <c r="EL28" s="61"/>
      <c r="EM28" s="61"/>
      <c r="EN28" s="61"/>
      <c r="EO28" s="61"/>
      <c r="EP28" s="61"/>
      <c r="EQ28" s="61"/>
      <c r="ER28" s="61"/>
      <c r="ES28" s="61"/>
      <c r="ET28" s="61"/>
      <c r="EU28" s="61"/>
      <c r="EV28" s="61"/>
      <c r="EW28" s="61"/>
      <c r="EX28" s="61"/>
      <c r="EY28" s="61"/>
      <c r="EZ28" s="61"/>
      <c r="FA28" s="61"/>
      <c r="FB28" s="61"/>
      <c r="FC28" s="61"/>
      <c r="FD28" s="61"/>
      <c r="FE28" s="61"/>
      <c r="FF28" s="61"/>
      <c r="FG28" s="61"/>
      <c r="FH28" s="61"/>
      <c r="FI28" s="61"/>
      <c r="FJ28" s="61"/>
      <c r="FK28" s="61"/>
      <c r="FL28" s="61"/>
      <c r="FM28" s="61"/>
      <c r="FN28" s="61"/>
      <c r="FO28" s="61"/>
      <c r="FP28" s="61"/>
      <c r="FQ28" s="61"/>
      <c r="FR28" s="61"/>
      <c r="FS28" s="61"/>
      <c r="FT28" s="61"/>
      <c r="FU28" s="61"/>
      <c r="FV28" s="61"/>
      <c r="FW28" s="61"/>
      <c r="FX28" s="61"/>
      <c r="FY28" s="61"/>
      <c r="FZ28" s="61"/>
      <c r="GA28" s="61"/>
      <c r="GB28" s="61"/>
      <c r="GC28" s="61"/>
    </row>
    <row r="29" spans="1:185" s="57" customFormat="1" ht="15" customHeight="1" x14ac:dyDescent="0.3">
      <c r="A29" s="59"/>
      <c r="B29" s="23"/>
      <c r="C29" s="74" t="s">
        <v>94</v>
      </c>
      <c r="D29" s="25" t="s">
        <v>20</v>
      </c>
      <c r="E29" s="75">
        <f t="shared" si="13"/>
        <v>0</v>
      </c>
      <c r="F29" s="39"/>
      <c r="G29" s="39"/>
      <c r="H29" s="39"/>
      <c r="I29" s="39"/>
      <c r="J29" s="39"/>
      <c r="K29" s="39"/>
      <c r="L29" s="39"/>
      <c r="M29" s="39"/>
      <c r="N29" s="39"/>
      <c r="O29" s="39"/>
      <c r="P29" s="39"/>
      <c r="Q29" s="39"/>
      <c r="R29" s="74"/>
      <c r="S29" s="59"/>
      <c r="T29" s="61"/>
      <c r="V29" s="61"/>
      <c r="W29" s="61"/>
      <c r="X29" s="61"/>
      <c r="Y29" s="61"/>
      <c r="Z29" s="61"/>
      <c r="AA29" s="61"/>
      <c r="AB29" s="61"/>
      <c r="AC29" s="61"/>
      <c r="AD29" s="61"/>
      <c r="AE29" s="61"/>
      <c r="AF29" s="61"/>
      <c r="AG29" s="61"/>
      <c r="AH29" s="61"/>
      <c r="AI29" s="61"/>
      <c r="AJ29" s="61"/>
      <c r="AK29" s="61"/>
      <c r="AL29" s="61"/>
      <c r="AM29" s="61"/>
      <c r="AN29" s="61"/>
      <c r="AO29" s="61"/>
      <c r="AP29" s="61"/>
      <c r="AQ29" s="61"/>
      <c r="AR29" s="61"/>
      <c r="AS29" s="61"/>
      <c r="AT29" s="61"/>
      <c r="AU29" s="61"/>
      <c r="AV29" s="61"/>
      <c r="AW29" s="61"/>
      <c r="AX29" s="61"/>
      <c r="AY29" s="61"/>
      <c r="AZ29" s="61"/>
      <c r="BA29" s="61"/>
      <c r="BB29" s="61"/>
      <c r="BC29" s="61"/>
      <c r="BD29" s="61"/>
      <c r="BE29" s="61"/>
      <c r="BF29" s="61"/>
      <c r="BG29" s="61"/>
      <c r="BH29" s="61"/>
      <c r="BI29" s="61"/>
      <c r="BJ29" s="61"/>
      <c r="BK29" s="61"/>
      <c r="BL29" s="61"/>
      <c r="BM29" s="61"/>
      <c r="BN29" s="61"/>
      <c r="BO29" s="61"/>
      <c r="BP29" s="61"/>
      <c r="BQ29" s="61"/>
      <c r="BR29" s="61"/>
      <c r="BS29" s="61"/>
      <c r="BT29" s="61"/>
      <c r="BU29" s="61"/>
      <c r="BV29" s="61"/>
      <c r="BW29" s="61"/>
      <c r="BX29" s="61"/>
      <c r="BY29" s="61"/>
      <c r="BZ29" s="61"/>
      <c r="CA29" s="61"/>
      <c r="CB29" s="61"/>
      <c r="CC29" s="61"/>
      <c r="CD29" s="61"/>
      <c r="CE29" s="61"/>
      <c r="CF29" s="61"/>
      <c r="CG29" s="61"/>
      <c r="CH29" s="61"/>
      <c r="CI29" s="61"/>
      <c r="CJ29" s="61"/>
      <c r="CK29" s="61"/>
      <c r="CL29" s="61"/>
      <c r="CM29" s="61"/>
      <c r="CN29" s="61"/>
      <c r="CO29" s="61"/>
      <c r="CP29" s="61"/>
      <c r="CQ29" s="61"/>
      <c r="CR29" s="61"/>
      <c r="CS29" s="61"/>
      <c r="CT29" s="61"/>
      <c r="CU29" s="61"/>
      <c r="CV29" s="61"/>
      <c r="CW29" s="61"/>
      <c r="CX29" s="61"/>
      <c r="CY29" s="61"/>
      <c r="CZ29" s="61"/>
      <c r="DA29" s="61"/>
      <c r="DB29" s="61"/>
      <c r="DC29" s="61"/>
      <c r="DD29" s="61"/>
      <c r="DE29" s="61"/>
      <c r="DF29" s="61"/>
      <c r="DG29" s="61"/>
      <c r="DH29" s="61"/>
      <c r="DI29" s="61"/>
      <c r="DJ29" s="61"/>
      <c r="DK29" s="61"/>
      <c r="DL29" s="61"/>
      <c r="DM29" s="61"/>
      <c r="DN29" s="61"/>
      <c r="DO29" s="61"/>
      <c r="DP29" s="61"/>
      <c r="DQ29" s="61"/>
      <c r="DR29" s="61"/>
      <c r="DS29" s="61"/>
      <c r="DT29" s="61"/>
      <c r="DU29" s="61"/>
      <c r="DV29" s="61"/>
      <c r="DW29" s="61"/>
      <c r="DX29" s="61"/>
      <c r="DY29" s="61"/>
      <c r="DZ29" s="61"/>
      <c r="EA29" s="61"/>
      <c r="EB29" s="61"/>
      <c r="EC29" s="61"/>
      <c r="ED29" s="61"/>
      <c r="EE29" s="61"/>
      <c r="EF29" s="61"/>
      <c r="EG29" s="61"/>
      <c r="EH29" s="61"/>
      <c r="EI29" s="61"/>
      <c r="EJ29" s="61"/>
      <c r="EK29" s="61"/>
      <c r="EL29" s="61"/>
      <c r="EM29" s="61"/>
      <c r="EN29" s="61"/>
      <c r="EO29" s="61"/>
      <c r="EP29" s="61"/>
      <c r="EQ29" s="61"/>
      <c r="ER29" s="61"/>
      <c r="ES29" s="61"/>
      <c r="ET29" s="61"/>
      <c r="EU29" s="61"/>
      <c r="EV29" s="61"/>
      <c r="EW29" s="61"/>
      <c r="EX29" s="61"/>
      <c r="EY29" s="61"/>
      <c r="EZ29" s="61"/>
      <c r="FA29" s="61"/>
      <c r="FB29" s="61"/>
      <c r="FC29" s="61"/>
      <c r="FD29" s="61"/>
      <c r="FE29" s="61"/>
      <c r="FF29" s="61"/>
      <c r="FG29" s="61"/>
      <c r="FH29" s="61"/>
      <c r="FI29" s="61"/>
      <c r="FJ29" s="61"/>
      <c r="FK29" s="61"/>
      <c r="FL29" s="61"/>
      <c r="FM29" s="61"/>
      <c r="FN29" s="61"/>
      <c r="FO29" s="61"/>
      <c r="FP29" s="61"/>
      <c r="FQ29" s="61"/>
      <c r="FR29" s="61"/>
      <c r="FS29" s="61"/>
      <c r="FT29" s="61"/>
      <c r="FU29" s="61"/>
      <c r="FV29" s="61"/>
      <c r="FW29" s="61"/>
      <c r="FX29" s="61"/>
      <c r="FY29" s="61"/>
      <c r="FZ29" s="61"/>
      <c r="GA29" s="61"/>
      <c r="GB29" s="61"/>
      <c r="GC29" s="61"/>
    </row>
    <row r="30" spans="1:185" s="57" customFormat="1" ht="15" customHeight="1" x14ac:dyDescent="0.3">
      <c r="A30" s="59"/>
      <c r="B30" s="23">
        <v>2.6</v>
      </c>
      <c r="C30" s="74" t="s">
        <v>96</v>
      </c>
      <c r="D30" s="25" t="s">
        <v>20</v>
      </c>
      <c r="E30" s="75">
        <f t="shared" si="13"/>
        <v>242.14398191999999</v>
      </c>
      <c r="F30" s="39">
        <f>[3]部门月度费用汇总!C$32</f>
        <v>18.65877566</v>
      </c>
      <c r="G30" s="39">
        <f>[3]部门月度费用汇总!D$32</f>
        <v>18.831475659999999</v>
      </c>
      <c r="H30" s="39">
        <f>[3]部门月度费用汇总!E$32</f>
        <v>18.762075660000001</v>
      </c>
      <c r="I30" s="39">
        <f>[3]部门月度费用汇总!F$32</f>
        <v>18.946575660000001</v>
      </c>
      <c r="J30" s="39">
        <f>[3]部门月度费用汇总!G$32</f>
        <v>18.44677566</v>
      </c>
      <c r="K30" s="39">
        <f>[3]部门月度费用汇总!H$32</f>
        <v>18.47737566</v>
      </c>
      <c r="L30" s="39">
        <f>[3]部门月度费用汇总!I$32</f>
        <v>35.263079660000002</v>
      </c>
      <c r="M30" s="39">
        <f>[3]部门月度费用汇总!J$32</f>
        <v>18.563129660000001</v>
      </c>
      <c r="N30" s="39">
        <f>[3]部门月度费用汇总!K$32</f>
        <v>19.275129660000001</v>
      </c>
      <c r="O30" s="39">
        <f>[3]部门月度费用汇总!L$32</f>
        <v>18.642729660000001</v>
      </c>
      <c r="P30" s="39">
        <f>[3]部门月度费用汇总!M$32</f>
        <v>19.703529660000001</v>
      </c>
      <c r="Q30" s="39">
        <f>[3]部门月度费用汇总!N$32</f>
        <v>18.573329659999999</v>
      </c>
      <c r="R30" s="74"/>
      <c r="S30" s="59"/>
      <c r="T30" s="61"/>
      <c r="V30" s="61"/>
      <c r="W30" s="61"/>
      <c r="X30" s="61"/>
      <c r="Y30" s="61"/>
      <c r="Z30" s="61"/>
      <c r="AA30" s="61"/>
      <c r="AB30" s="61"/>
      <c r="AC30" s="61"/>
      <c r="AD30" s="61"/>
      <c r="AE30" s="61"/>
      <c r="AF30" s="61"/>
      <c r="AG30" s="61"/>
      <c r="AH30" s="61"/>
      <c r="AI30" s="61"/>
      <c r="AJ30" s="61"/>
      <c r="AK30" s="61"/>
      <c r="AL30" s="61"/>
      <c r="AM30" s="61"/>
      <c r="AN30" s="61"/>
      <c r="AO30" s="61"/>
      <c r="AP30" s="61"/>
      <c r="AQ30" s="61"/>
      <c r="AR30" s="61"/>
      <c r="AS30" s="61"/>
      <c r="AT30" s="61"/>
      <c r="AU30" s="61"/>
      <c r="AV30" s="61"/>
      <c r="AW30" s="61"/>
      <c r="AX30" s="61"/>
      <c r="AY30" s="61"/>
      <c r="AZ30" s="61"/>
      <c r="BA30" s="61"/>
      <c r="BB30" s="61"/>
      <c r="BC30" s="61"/>
      <c r="BD30" s="61"/>
      <c r="BE30" s="61"/>
      <c r="BF30" s="61"/>
      <c r="BG30" s="61"/>
      <c r="BH30" s="61"/>
      <c r="BI30" s="61"/>
      <c r="BJ30" s="61"/>
      <c r="BK30" s="61"/>
      <c r="BL30" s="61"/>
      <c r="BM30" s="61"/>
      <c r="BN30" s="61"/>
      <c r="BO30" s="61"/>
      <c r="BP30" s="61"/>
      <c r="BQ30" s="61"/>
      <c r="BR30" s="61"/>
      <c r="BS30" s="61"/>
      <c r="BT30" s="61"/>
      <c r="BU30" s="61"/>
      <c r="BV30" s="61"/>
      <c r="BW30" s="61"/>
      <c r="BX30" s="61"/>
      <c r="BY30" s="61"/>
      <c r="BZ30" s="61"/>
      <c r="CA30" s="61"/>
      <c r="CB30" s="61"/>
      <c r="CC30" s="61"/>
      <c r="CD30" s="61"/>
      <c r="CE30" s="61"/>
      <c r="CF30" s="61"/>
      <c r="CG30" s="61"/>
      <c r="CH30" s="61"/>
      <c r="CI30" s="61"/>
      <c r="CJ30" s="61"/>
      <c r="CK30" s="61"/>
      <c r="CL30" s="61"/>
      <c r="CM30" s="61"/>
      <c r="CN30" s="61"/>
      <c r="CO30" s="61"/>
      <c r="CP30" s="61"/>
      <c r="CQ30" s="61"/>
      <c r="CR30" s="61"/>
      <c r="CS30" s="61"/>
      <c r="CT30" s="61"/>
      <c r="CU30" s="61"/>
      <c r="CV30" s="61"/>
      <c r="CW30" s="61"/>
      <c r="CX30" s="61"/>
      <c r="CY30" s="61"/>
      <c r="CZ30" s="61"/>
      <c r="DA30" s="61"/>
      <c r="DB30" s="61"/>
      <c r="DC30" s="61"/>
      <c r="DD30" s="61"/>
      <c r="DE30" s="61"/>
      <c r="DF30" s="61"/>
      <c r="DG30" s="61"/>
      <c r="DH30" s="61"/>
      <c r="DI30" s="61"/>
      <c r="DJ30" s="61"/>
      <c r="DK30" s="61"/>
      <c r="DL30" s="61"/>
      <c r="DM30" s="61"/>
      <c r="DN30" s="61"/>
      <c r="DO30" s="61"/>
      <c r="DP30" s="61"/>
      <c r="DQ30" s="61"/>
      <c r="DR30" s="61"/>
      <c r="DS30" s="61"/>
      <c r="DT30" s="61"/>
      <c r="DU30" s="61"/>
      <c r="DV30" s="61"/>
      <c r="DW30" s="61"/>
      <c r="DX30" s="61"/>
      <c r="DY30" s="61"/>
      <c r="DZ30" s="61"/>
      <c r="EA30" s="61"/>
      <c r="EB30" s="61"/>
      <c r="EC30" s="61"/>
      <c r="ED30" s="61"/>
      <c r="EE30" s="61"/>
      <c r="EF30" s="61"/>
      <c r="EG30" s="61"/>
      <c r="EH30" s="61"/>
      <c r="EI30" s="61"/>
      <c r="EJ30" s="61"/>
      <c r="EK30" s="61"/>
      <c r="EL30" s="61"/>
      <c r="EM30" s="61"/>
      <c r="EN30" s="61"/>
      <c r="EO30" s="61"/>
      <c r="EP30" s="61"/>
      <c r="EQ30" s="61"/>
      <c r="ER30" s="61"/>
      <c r="ES30" s="61"/>
      <c r="ET30" s="61"/>
      <c r="EU30" s="61"/>
      <c r="EV30" s="61"/>
      <c r="EW30" s="61"/>
      <c r="EX30" s="61"/>
      <c r="EY30" s="61"/>
      <c r="EZ30" s="61"/>
      <c r="FA30" s="61"/>
      <c r="FB30" s="61"/>
      <c r="FC30" s="61"/>
      <c r="FD30" s="61"/>
      <c r="FE30" s="61"/>
      <c r="FF30" s="61"/>
      <c r="FG30" s="61"/>
      <c r="FH30" s="61"/>
      <c r="FI30" s="61"/>
      <c r="FJ30" s="61"/>
      <c r="FK30" s="61"/>
      <c r="FL30" s="61"/>
      <c r="FM30" s="61"/>
      <c r="FN30" s="61"/>
      <c r="FO30" s="61"/>
      <c r="FP30" s="61"/>
      <c r="FQ30" s="61"/>
      <c r="FR30" s="61"/>
      <c r="FS30" s="61"/>
      <c r="FT30" s="61"/>
      <c r="FU30" s="61"/>
      <c r="FV30" s="61"/>
      <c r="FW30" s="61"/>
      <c r="FX30" s="61"/>
      <c r="FY30" s="61"/>
      <c r="FZ30" s="61"/>
      <c r="GA30" s="61"/>
      <c r="GB30" s="61"/>
      <c r="GC30" s="61"/>
    </row>
    <row r="31" spans="1:185" s="57" customFormat="1" ht="15" customHeight="1" x14ac:dyDescent="0.3">
      <c r="A31" s="59"/>
      <c r="B31" s="23"/>
      <c r="C31" s="74" t="s">
        <v>93</v>
      </c>
      <c r="D31" s="25" t="s">
        <v>20</v>
      </c>
      <c r="E31" s="75">
        <f t="shared" si="13"/>
        <v>0</v>
      </c>
      <c r="F31" s="39"/>
      <c r="G31" s="39"/>
      <c r="H31" s="39"/>
      <c r="I31" s="39"/>
      <c r="J31" s="39"/>
      <c r="K31" s="39"/>
      <c r="L31" s="39"/>
      <c r="M31" s="39"/>
      <c r="N31" s="39"/>
      <c r="O31" s="39"/>
      <c r="P31" s="39"/>
      <c r="Q31" s="39"/>
      <c r="R31" s="74"/>
      <c r="S31" s="59"/>
      <c r="T31" s="61"/>
      <c r="V31" s="61"/>
      <c r="W31" s="61"/>
      <c r="X31" s="61"/>
      <c r="Y31" s="61"/>
      <c r="Z31" s="61"/>
      <c r="AA31" s="61"/>
      <c r="AB31" s="61"/>
      <c r="AC31" s="61"/>
      <c r="AD31" s="61"/>
      <c r="AE31" s="61"/>
      <c r="AF31" s="61"/>
      <c r="AG31" s="61"/>
      <c r="AH31" s="61"/>
      <c r="AI31" s="61"/>
      <c r="AJ31" s="61"/>
      <c r="AK31" s="61"/>
      <c r="AL31" s="61"/>
      <c r="AM31" s="61"/>
      <c r="AN31" s="61"/>
      <c r="AO31" s="61"/>
      <c r="AP31" s="61"/>
      <c r="AQ31" s="61"/>
      <c r="AR31" s="61"/>
      <c r="AS31" s="61"/>
      <c r="AT31" s="61"/>
      <c r="AU31" s="61"/>
      <c r="AV31" s="61"/>
      <c r="AW31" s="61"/>
      <c r="AX31" s="61"/>
      <c r="AY31" s="61"/>
      <c r="AZ31" s="61"/>
      <c r="BA31" s="61"/>
      <c r="BB31" s="61"/>
      <c r="BC31" s="61"/>
      <c r="BD31" s="61"/>
      <c r="BE31" s="61"/>
      <c r="BF31" s="61"/>
      <c r="BG31" s="61"/>
      <c r="BH31" s="61"/>
      <c r="BI31" s="61"/>
      <c r="BJ31" s="61"/>
      <c r="BK31" s="61"/>
      <c r="BL31" s="61"/>
      <c r="BM31" s="61"/>
      <c r="BN31" s="61"/>
      <c r="BO31" s="61"/>
      <c r="BP31" s="61"/>
      <c r="BQ31" s="61"/>
      <c r="BR31" s="61"/>
      <c r="BS31" s="61"/>
      <c r="BT31" s="61"/>
      <c r="BU31" s="61"/>
      <c r="BV31" s="61"/>
      <c r="BW31" s="61"/>
      <c r="BX31" s="61"/>
      <c r="BY31" s="61"/>
      <c r="BZ31" s="61"/>
      <c r="CA31" s="61"/>
      <c r="CB31" s="61"/>
      <c r="CC31" s="61"/>
      <c r="CD31" s="61"/>
      <c r="CE31" s="61"/>
      <c r="CF31" s="61"/>
      <c r="CG31" s="61"/>
      <c r="CH31" s="61"/>
      <c r="CI31" s="61"/>
      <c r="CJ31" s="61"/>
      <c r="CK31" s="61"/>
      <c r="CL31" s="61"/>
      <c r="CM31" s="61"/>
      <c r="CN31" s="61"/>
      <c r="CO31" s="61"/>
      <c r="CP31" s="61"/>
      <c r="CQ31" s="61"/>
      <c r="CR31" s="61"/>
      <c r="CS31" s="61"/>
      <c r="CT31" s="61"/>
      <c r="CU31" s="61"/>
      <c r="CV31" s="61"/>
      <c r="CW31" s="61"/>
      <c r="CX31" s="61"/>
      <c r="CY31" s="61"/>
      <c r="CZ31" s="61"/>
      <c r="DA31" s="61"/>
      <c r="DB31" s="61"/>
      <c r="DC31" s="61"/>
      <c r="DD31" s="61"/>
      <c r="DE31" s="61"/>
      <c r="DF31" s="61"/>
      <c r="DG31" s="61"/>
      <c r="DH31" s="61"/>
      <c r="DI31" s="61"/>
      <c r="DJ31" s="61"/>
      <c r="DK31" s="61"/>
      <c r="DL31" s="61"/>
      <c r="DM31" s="61"/>
      <c r="DN31" s="61"/>
      <c r="DO31" s="61"/>
      <c r="DP31" s="61"/>
      <c r="DQ31" s="61"/>
      <c r="DR31" s="61"/>
      <c r="DS31" s="61"/>
      <c r="DT31" s="61"/>
      <c r="DU31" s="61"/>
      <c r="DV31" s="61"/>
      <c r="DW31" s="61"/>
      <c r="DX31" s="61"/>
      <c r="DY31" s="61"/>
      <c r="DZ31" s="61"/>
      <c r="EA31" s="61"/>
      <c r="EB31" s="61"/>
      <c r="EC31" s="61"/>
      <c r="ED31" s="61"/>
      <c r="EE31" s="61"/>
      <c r="EF31" s="61"/>
      <c r="EG31" s="61"/>
      <c r="EH31" s="61"/>
      <c r="EI31" s="61"/>
      <c r="EJ31" s="61"/>
      <c r="EK31" s="61"/>
      <c r="EL31" s="61"/>
      <c r="EM31" s="61"/>
      <c r="EN31" s="61"/>
      <c r="EO31" s="61"/>
      <c r="EP31" s="61"/>
      <c r="EQ31" s="61"/>
      <c r="ER31" s="61"/>
      <c r="ES31" s="61"/>
      <c r="ET31" s="61"/>
      <c r="EU31" s="61"/>
      <c r="EV31" s="61"/>
      <c r="EW31" s="61"/>
      <c r="EX31" s="61"/>
      <c r="EY31" s="61"/>
      <c r="EZ31" s="61"/>
      <c r="FA31" s="61"/>
      <c r="FB31" s="61"/>
      <c r="FC31" s="61"/>
      <c r="FD31" s="61"/>
      <c r="FE31" s="61"/>
      <c r="FF31" s="61"/>
      <c r="FG31" s="61"/>
      <c r="FH31" s="61"/>
      <c r="FI31" s="61"/>
      <c r="FJ31" s="61"/>
      <c r="FK31" s="61"/>
      <c r="FL31" s="61"/>
      <c r="FM31" s="61"/>
      <c r="FN31" s="61"/>
      <c r="FO31" s="61"/>
      <c r="FP31" s="61"/>
      <c r="FQ31" s="61"/>
      <c r="FR31" s="61"/>
      <c r="FS31" s="61"/>
      <c r="FT31" s="61"/>
      <c r="FU31" s="61"/>
      <c r="FV31" s="61"/>
      <c r="FW31" s="61"/>
      <c r="FX31" s="61"/>
      <c r="FY31" s="61"/>
      <c r="FZ31" s="61"/>
      <c r="GA31" s="61"/>
      <c r="GB31" s="61"/>
      <c r="GC31" s="61"/>
    </row>
    <row r="32" spans="1:185" s="57" customFormat="1" ht="15" customHeight="1" x14ac:dyDescent="0.3">
      <c r="A32" s="59"/>
      <c r="B32" s="23"/>
      <c r="C32" s="74" t="s">
        <v>94</v>
      </c>
      <c r="D32" s="25" t="s">
        <v>20</v>
      </c>
      <c r="E32" s="75">
        <f t="shared" si="13"/>
        <v>0</v>
      </c>
      <c r="F32" s="44"/>
      <c r="G32" s="44"/>
      <c r="H32" s="44"/>
      <c r="I32" s="44"/>
      <c r="J32" s="44"/>
      <c r="K32" s="44"/>
      <c r="L32" s="44"/>
      <c r="M32" s="44"/>
      <c r="N32" s="44"/>
      <c r="O32" s="44"/>
      <c r="P32" s="44"/>
      <c r="Q32" s="44"/>
      <c r="R32" s="74"/>
      <c r="S32" s="59"/>
      <c r="T32" s="61"/>
      <c r="V32" s="61"/>
      <c r="W32" s="61"/>
      <c r="X32" s="61"/>
      <c r="Y32" s="61"/>
      <c r="Z32" s="61"/>
      <c r="AA32" s="61"/>
      <c r="AB32" s="61"/>
      <c r="AC32" s="61"/>
      <c r="AD32" s="61"/>
      <c r="AE32" s="61"/>
      <c r="AF32" s="61"/>
      <c r="AG32" s="61"/>
      <c r="AH32" s="61"/>
      <c r="AI32" s="61"/>
      <c r="AJ32" s="61"/>
      <c r="AK32" s="61"/>
      <c r="AL32" s="61"/>
      <c r="AM32" s="61"/>
      <c r="AN32" s="61"/>
      <c r="AO32" s="61"/>
      <c r="AP32" s="61"/>
      <c r="AQ32" s="61"/>
      <c r="AR32" s="61"/>
      <c r="AS32" s="61"/>
      <c r="AT32" s="61"/>
      <c r="AU32" s="61"/>
      <c r="AV32" s="61"/>
      <c r="AW32" s="61"/>
      <c r="AX32" s="61"/>
      <c r="AY32" s="61"/>
      <c r="AZ32" s="61"/>
      <c r="BA32" s="61"/>
      <c r="BB32" s="61"/>
      <c r="BC32" s="61"/>
      <c r="BD32" s="61"/>
      <c r="BE32" s="61"/>
      <c r="BF32" s="61"/>
      <c r="BG32" s="61"/>
      <c r="BH32" s="61"/>
      <c r="BI32" s="61"/>
      <c r="BJ32" s="61"/>
      <c r="BK32" s="61"/>
      <c r="BL32" s="61"/>
      <c r="BM32" s="61"/>
      <c r="BN32" s="61"/>
      <c r="BO32" s="61"/>
      <c r="BP32" s="61"/>
      <c r="BQ32" s="61"/>
      <c r="BR32" s="61"/>
      <c r="BS32" s="61"/>
      <c r="BT32" s="61"/>
      <c r="BU32" s="61"/>
      <c r="BV32" s="61"/>
      <c r="BW32" s="61"/>
      <c r="BX32" s="61"/>
      <c r="BY32" s="61"/>
      <c r="BZ32" s="61"/>
      <c r="CA32" s="61"/>
      <c r="CB32" s="61"/>
      <c r="CC32" s="61"/>
      <c r="CD32" s="61"/>
      <c r="CE32" s="61"/>
      <c r="CF32" s="61"/>
      <c r="CG32" s="61"/>
      <c r="CH32" s="61"/>
      <c r="CI32" s="61"/>
      <c r="CJ32" s="61"/>
      <c r="CK32" s="61"/>
      <c r="CL32" s="61"/>
      <c r="CM32" s="61"/>
      <c r="CN32" s="61"/>
      <c r="CO32" s="61"/>
      <c r="CP32" s="61"/>
      <c r="CQ32" s="61"/>
      <c r="CR32" s="61"/>
      <c r="CS32" s="61"/>
      <c r="CT32" s="61"/>
      <c r="CU32" s="61"/>
      <c r="CV32" s="61"/>
      <c r="CW32" s="61"/>
      <c r="CX32" s="61"/>
      <c r="CY32" s="61"/>
      <c r="CZ32" s="61"/>
      <c r="DA32" s="61"/>
      <c r="DB32" s="61"/>
      <c r="DC32" s="61"/>
      <c r="DD32" s="61"/>
      <c r="DE32" s="61"/>
      <c r="DF32" s="61"/>
      <c r="DG32" s="61"/>
      <c r="DH32" s="61"/>
      <c r="DI32" s="61"/>
      <c r="DJ32" s="61"/>
      <c r="DK32" s="61"/>
      <c r="DL32" s="61"/>
      <c r="DM32" s="61"/>
      <c r="DN32" s="61"/>
      <c r="DO32" s="61"/>
      <c r="DP32" s="61"/>
      <c r="DQ32" s="61"/>
      <c r="DR32" s="61"/>
      <c r="DS32" s="61"/>
      <c r="DT32" s="61"/>
      <c r="DU32" s="61"/>
      <c r="DV32" s="61"/>
      <c r="DW32" s="61"/>
      <c r="DX32" s="61"/>
      <c r="DY32" s="61"/>
      <c r="DZ32" s="61"/>
      <c r="EA32" s="61"/>
      <c r="EB32" s="61"/>
      <c r="EC32" s="61"/>
      <c r="ED32" s="61"/>
      <c r="EE32" s="61"/>
      <c r="EF32" s="61"/>
      <c r="EG32" s="61"/>
      <c r="EH32" s="61"/>
      <c r="EI32" s="61"/>
      <c r="EJ32" s="61"/>
      <c r="EK32" s="61"/>
      <c r="EL32" s="61"/>
      <c r="EM32" s="61"/>
      <c r="EN32" s="61"/>
      <c r="EO32" s="61"/>
      <c r="EP32" s="61"/>
      <c r="EQ32" s="61"/>
      <c r="ER32" s="61"/>
      <c r="ES32" s="61"/>
      <c r="ET32" s="61"/>
      <c r="EU32" s="61"/>
      <c r="EV32" s="61"/>
      <c r="EW32" s="61"/>
      <c r="EX32" s="61"/>
      <c r="EY32" s="61"/>
      <c r="EZ32" s="61"/>
      <c r="FA32" s="61"/>
      <c r="FB32" s="61"/>
      <c r="FC32" s="61"/>
      <c r="FD32" s="61"/>
      <c r="FE32" s="61"/>
      <c r="FF32" s="61"/>
      <c r="FG32" s="61"/>
      <c r="FH32" s="61"/>
      <c r="FI32" s="61"/>
      <c r="FJ32" s="61"/>
      <c r="FK32" s="61"/>
      <c r="FL32" s="61"/>
      <c r="FM32" s="61"/>
      <c r="FN32" s="61"/>
      <c r="FO32" s="61"/>
      <c r="FP32" s="61"/>
      <c r="FQ32" s="61"/>
      <c r="FR32" s="61"/>
      <c r="FS32" s="61"/>
      <c r="FT32" s="61"/>
      <c r="FU32" s="61"/>
      <c r="FV32" s="61"/>
      <c r="FW32" s="61"/>
      <c r="FX32" s="61"/>
      <c r="FY32" s="61"/>
      <c r="FZ32" s="61"/>
      <c r="GA32" s="61"/>
      <c r="GB32" s="61"/>
      <c r="GC32" s="61"/>
    </row>
    <row r="33" spans="1:185" s="57" customFormat="1" ht="15" customHeight="1" x14ac:dyDescent="0.3">
      <c r="A33" s="59"/>
      <c r="B33" s="23">
        <v>2.7</v>
      </c>
      <c r="C33" s="74" t="s">
        <v>97</v>
      </c>
      <c r="D33" s="25" t="s">
        <v>20</v>
      </c>
      <c r="E33" s="75">
        <f t="shared" si="13"/>
        <v>26.800125000000001</v>
      </c>
      <c r="F33" s="44">
        <v>1.1165</v>
      </c>
      <c r="G33" s="44">
        <v>1.29</v>
      </c>
      <c r="H33" s="44">
        <v>1.495425</v>
      </c>
      <c r="I33" s="44">
        <v>2.1523694444444401</v>
      </c>
      <c r="J33" s="44">
        <v>2.5476819444444398</v>
      </c>
      <c r="K33" s="44">
        <v>2.5997355158730202</v>
      </c>
      <c r="L33" s="44">
        <v>2.5997355158730202</v>
      </c>
      <c r="M33" s="44">
        <v>2.5997355158730202</v>
      </c>
      <c r="N33" s="44">
        <v>2.5997355158730202</v>
      </c>
      <c r="O33" s="44">
        <v>2.5997355158730202</v>
      </c>
      <c r="P33" s="44">
        <v>2.5997355158730202</v>
      </c>
      <c r="Q33" s="44">
        <v>2.5997355158730202</v>
      </c>
      <c r="R33" s="74"/>
      <c r="S33" s="59"/>
      <c r="T33" s="61"/>
      <c r="V33" s="61"/>
      <c r="W33" s="61"/>
      <c r="X33" s="61"/>
      <c r="Y33" s="61"/>
      <c r="Z33" s="61"/>
      <c r="AA33" s="61"/>
      <c r="AB33" s="61"/>
      <c r="AC33" s="61"/>
      <c r="AD33" s="61"/>
      <c r="AE33" s="61"/>
      <c r="AF33" s="61"/>
      <c r="AG33" s="61"/>
      <c r="AH33" s="61"/>
      <c r="AI33" s="61"/>
      <c r="AJ33" s="61"/>
      <c r="AK33" s="61"/>
      <c r="AL33" s="61"/>
      <c r="AM33" s="61"/>
      <c r="AN33" s="61"/>
      <c r="AO33" s="61"/>
      <c r="AP33" s="61"/>
      <c r="AQ33" s="61"/>
      <c r="AR33" s="61"/>
      <c r="AS33" s="61"/>
      <c r="AT33" s="61"/>
      <c r="AU33" s="61"/>
      <c r="AV33" s="61"/>
      <c r="AW33" s="61"/>
      <c r="AX33" s="61"/>
      <c r="AY33" s="61"/>
      <c r="AZ33" s="61"/>
      <c r="BA33" s="61"/>
      <c r="BB33" s="61"/>
      <c r="BC33" s="61"/>
      <c r="BD33" s="61"/>
      <c r="BE33" s="61"/>
      <c r="BF33" s="61"/>
      <c r="BG33" s="61"/>
      <c r="BH33" s="61"/>
      <c r="BI33" s="61"/>
      <c r="BJ33" s="61"/>
      <c r="BK33" s="61"/>
      <c r="BL33" s="61"/>
      <c r="BM33" s="61"/>
      <c r="BN33" s="61"/>
      <c r="BO33" s="61"/>
      <c r="BP33" s="61"/>
      <c r="BQ33" s="61"/>
      <c r="BR33" s="61"/>
      <c r="BS33" s="61"/>
      <c r="BT33" s="61"/>
      <c r="BU33" s="61"/>
      <c r="BV33" s="61"/>
      <c r="BW33" s="61"/>
      <c r="BX33" s="61"/>
      <c r="BY33" s="61"/>
      <c r="BZ33" s="61"/>
      <c r="CA33" s="61"/>
      <c r="CB33" s="61"/>
      <c r="CC33" s="61"/>
      <c r="CD33" s="61"/>
      <c r="CE33" s="61"/>
      <c r="CF33" s="61"/>
      <c r="CG33" s="61"/>
      <c r="CH33" s="61"/>
      <c r="CI33" s="61"/>
      <c r="CJ33" s="61"/>
      <c r="CK33" s="61"/>
      <c r="CL33" s="61"/>
      <c r="CM33" s="61"/>
      <c r="CN33" s="61"/>
      <c r="CO33" s="61"/>
      <c r="CP33" s="61"/>
      <c r="CQ33" s="61"/>
      <c r="CR33" s="61"/>
      <c r="CS33" s="61"/>
      <c r="CT33" s="61"/>
      <c r="CU33" s="61"/>
      <c r="CV33" s="61"/>
      <c r="CW33" s="61"/>
      <c r="CX33" s="61"/>
      <c r="CY33" s="61"/>
      <c r="CZ33" s="61"/>
      <c r="DA33" s="61"/>
      <c r="DB33" s="61"/>
      <c r="DC33" s="61"/>
      <c r="DD33" s="61"/>
      <c r="DE33" s="61"/>
      <c r="DF33" s="61"/>
      <c r="DG33" s="61"/>
      <c r="DH33" s="61"/>
      <c r="DI33" s="61"/>
      <c r="DJ33" s="61"/>
      <c r="DK33" s="61"/>
      <c r="DL33" s="61"/>
      <c r="DM33" s="61"/>
      <c r="DN33" s="61"/>
      <c r="DO33" s="61"/>
      <c r="DP33" s="61"/>
      <c r="DQ33" s="61"/>
      <c r="DR33" s="61"/>
      <c r="DS33" s="61"/>
      <c r="DT33" s="61"/>
      <c r="DU33" s="61"/>
      <c r="DV33" s="61"/>
      <c r="DW33" s="61"/>
      <c r="DX33" s="61"/>
      <c r="DY33" s="61"/>
      <c r="DZ33" s="61"/>
      <c r="EA33" s="61"/>
      <c r="EB33" s="61"/>
      <c r="EC33" s="61"/>
      <c r="ED33" s="61"/>
      <c r="EE33" s="61"/>
      <c r="EF33" s="61"/>
      <c r="EG33" s="61"/>
      <c r="EH33" s="61"/>
      <c r="EI33" s="61"/>
      <c r="EJ33" s="61"/>
      <c r="EK33" s="61"/>
      <c r="EL33" s="61"/>
      <c r="EM33" s="61"/>
      <c r="EN33" s="61"/>
      <c r="EO33" s="61"/>
      <c r="EP33" s="61"/>
      <c r="EQ33" s="61"/>
      <c r="ER33" s="61"/>
      <c r="ES33" s="61"/>
      <c r="ET33" s="61"/>
      <c r="EU33" s="61"/>
      <c r="EV33" s="61"/>
      <c r="EW33" s="61"/>
      <c r="EX33" s="61"/>
      <c r="EY33" s="61"/>
      <c r="EZ33" s="61"/>
      <c r="FA33" s="61"/>
      <c r="FB33" s="61"/>
      <c r="FC33" s="61"/>
      <c r="FD33" s="61"/>
      <c r="FE33" s="61"/>
      <c r="FF33" s="61"/>
      <c r="FG33" s="61"/>
      <c r="FH33" s="61"/>
      <c r="FI33" s="61"/>
      <c r="FJ33" s="61"/>
      <c r="FK33" s="61"/>
      <c r="FL33" s="61"/>
      <c r="FM33" s="61"/>
      <c r="FN33" s="61"/>
      <c r="FO33" s="61"/>
      <c r="FP33" s="61"/>
      <c r="FQ33" s="61"/>
      <c r="FR33" s="61"/>
      <c r="FS33" s="61"/>
      <c r="FT33" s="61"/>
      <c r="FU33" s="61"/>
      <c r="FV33" s="61"/>
      <c r="FW33" s="61"/>
      <c r="FX33" s="61"/>
      <c r="FY33" s="61"/>
      <c r="FZ33" s="61"/>
      <c r="GA33" s="61"/>
      <c r="GB33" s="61"/>
      <c r="GC33" s="61"/>
    </row>
    <row r="34" spans="1:185" s="57" customFormat="1" ht="15" customHeight="1" x14ac:dyDescent="0.3">
      <c r="A34" s="59"/>
      <c r="B34" s="23"/>
      <c r="C34" s="74" t="s">
        <v>98</v>
      </c>
      <c r="D34" s="25" t="s">
        <v>20</v>
      </c>
      <c r="E34" s="75">
        <f t="shared" si="13"/>
        <v>0</v>
      </c>
      <c r="F34" s="39"/>
      <c r="G34" s="39"/>
      <c r="H34" s="39"/>
      <c r="I34" s="39"/>
      <c r="J34" s="39"/>
      <c r="K34" s="39"/>
      <c r="L34" s="39"/>
      <c r="M34" s="39"/>
      <c r="N34" s="39"/>
      <c r="O34" s="39"/>
      <c r="P34" s="39"/>
      <c r="Q34" s="39"/>
      <c r="R34" s="74"/>
      <c r="S34" s="59"/>
      <c r="T34" s="61"/>
      <c r="V34" s="61"/>
      <c r="W34" s="61"/>
      <c r="X34" s="61"/>
      <c r="Y34" s="61"/>
      <c r="Z34" s="61"/>
      <c r="AA34" s="61"/>
      <c r="AB34" s="61"/>
      <c r="AC34" s="61"/>
      <c r="AD34" s="61"/>
      <c r="AE34" s="61"/>
      <c r="AF34" s="61"/>
      <c r="AG34" s="61"/>
      <c r="AH34" s="61"/>
      <c r="AI34" s="61"/>
      <c r="AJ34" s="61"/>
      <c r="AK34" s="61"/>
      <c r="AL34" s="61"/>
      <c r="AM34" s="61"/>
      <c r="AN34" s="61"/>
      <c r="AO34" s="61"/>
      <c r="AP34" s="61"/>
      <c r="AQ34" s="61"/>
      <c r="AR34" s="61"/>
      <c r="AS34" s="61"/>
      <c r="AT34" s="61"/>
      <c r="AU34" s="61"/>
      <c r="AV34" s="61"/>
      <c r="AW34" s="61"/>
      <c r="AX34" s="61"/>
      <c r="AY34" s="61"/>
      <c r="AZ34" s="61"/>
      <c r="BA34" s="61"/>
      <c r="BB34" s="61"/>
      <c r="BC34" s="61"/>
      <c r="BD34" s="61"/>
      <c r="BE34" s="61"/>
      <c r="BF34" s="61"/>
      <c r="BG34" s="61"/>
      <c r="BH34" s="61"/>
      <c r="BI34" s="61"/>
      <c r="BJ34" s="61"/>
      <c r="BK34" s="61"/>
      <c r="BL34" s="61"/>
      <c r="BM34" s="61"/>
      <c r="BN34" s="61"/>
      <c r="BO34" s="61"/>
      <c r="BP34" s="61"/>
      <c r="BQ34" s="61"/>
      <c r="BR34" s="61"/>
      <c r="BS34" s="61"/>
      <c r="BT34" s="61"/>
      <c r="BU34" s="61"/>
      <c r="BV34" s="61"/>
      <c r="BW34" s="61"/>
      <c r="BX34" s="61"/>
      <c r="BY34" s="61"/>
      <c r="BZ34" s="61"/>
      <c r="CA34" s="61"/>
      <c r="CB34" s="61"/>
      <c r="CC34" s="61"/>
      <c r="CD34" s="61"/>
      <c r="CE34" s="61"/>
      <c r="CF34" s="61"/>
      <c r="CG34" s="61"/>
      <c r="CH34" s="61"/>
      <c r="CI34" s="61"/>
      <c r="CJ34" s="61"/>
      <c r="CK34" s="61"/>
      <c r="CL34" s="61"/>
      <c r="CM34" s="61"/>
      <c r="CN34" s="61"/>
      <c r="CO34" s="61"/>
      <c r="CP34" s="61"/>
      <c r="CQ34" s="61"/>
      <c r="CR34" s="61"/>
      <c r="CS34" s="61"/>
      <c r="CT34" s="61"/>
      <c r="CU34" s="61"/>
      <c r="CV34" s="61"/>
      <c r="CW34" s="61"/>
      <c r="CX34" s="61"/>
      <c r="CY34" s="61"/>
      <c r="CZ34" s="61"/>
      <c r="DA34" s="61"/>
      <c r="DB34" s="61"/>
      <c r="DC34" s="61"/>
      <c r="DD34" s="61"/>
      <c r="DE34" s="61"/>
      <c r="DF34" s="61"/>
      <c r="DG34" s="61"/>
      <c r="DH34" s="61"/>
      <c r="DI34" s="61"/>
      <c r="DJ34" s="61"/>
      <c r="DK34" s="61"/>
      <c r="DL34" s="61"/>
      <c r="DM34" s="61"/>
      <c r="DN34" s="61"/>
      <c r="DO34" s="61"/>
      <c r="DP34" s="61"/>
      <c r="DQ34" s="61"/>
      <c r="DR34" s="61"/>
      <c r="DS34" s="61"/>
      <c r="DT34" s="61"/>
      <c r="DU34" s="61"/>
      <c r="DV34" s="61"/>
      <c r="DW34" s="61"/>
      <c r="DX34" s="61"/>
      <c r="DY34" s="61"/>
      <c r="DZ34" s="61"/>
      <c r="EA34" s="61"/>
      <c r="EB34" s="61"/>
      <c r="EC34" s="61"/>
      <c r="ED34" s="61"/>
      <c r="EE34" s="61"/>
      <c r="EF34" s="61"/>
      <c r="EG34" s="61"/>
      <c r="EH34" s="61"/>
      <c r="EI34" s="61"/>
      <c r="EJ34" s="61"/>
      <c r="EK34" s="61"/>
      <c r="EL34" s="61"/>
      <c r="EM34" s="61"/>
      <c r="EN34" s="61"/>
      <c r="EO34" s="61"/>
      <c r="EP34" s="61"/>
      <c r="EQ34" s="61"/>
      <c r="ER34" s="61"/>
      <c r="ES34" s="61"/>
      <c r="ET34" s="61"/>
      <c r="EU34" s="61"/>
      <c r="EV34" s="61"/>
      <c r="EW34" s="61"/>
      <c r="EX34" s="61"/>
      <c r="EY34" s="61"/>
      <c r="EZ34" s="61"/>
      <c r="FA34" s="61"/>
      <c r="FB34" s="61"/>
      <c r="FC34" s="61"/>
      <c r="FD34" s="61"/>
      <c r="FE34" s="61"/>
      <c r="FF34" s="61"/>
      <c r="FG34" s="61"/>
      <c r="FH34" s="61"/>
      <c r="FI34" s="61"/>
      <c r="FJ34" s="61"/>
      <c r="FK34" s="61"/>
      <c r="FL34" s="61"/>
      <c r="FM34" s="61"/>
      <c r="FN34" s="61"/>
      <c r="FO34" s="61"/>
      <c r="FP34" s="61"/>
      <c r="FQ34" s="61"/>
      <c r="FR34" s="61"/>
      <c r="FS34" s="61"/>
      <c r="FT34" s="61"/>
      <c r="FU34" s="61"/>
      <c r="FV34" s="61"/>
      <c r="FW34" s="61"/>
      <c r="FX34" s="61"/>
      <c r="FY34" s="61"/>
      <c r="FZ34" s="61"/>
      <c r="GA34" s="61"/>
      <c r="GB34" s="61"/>
      <c r="GC34" s="61"/>
    </row>
    <row r="35" spans="1:185" s="57" customFormat="1" ht="15" customHeight="1" x14ac:dyDescent="0.3">
      <c r="A35" s="59"/>
      <c r="B35" s="11">
        <v>3</v>
      </c>
      <c r="C35" s="12" t="s">
        <v>99</v>
      </c>
      <c r="D35" s="13" t="s">
        <v>20</v>
      </c>
      <c r="E35" s="72">
        <f t="shared" si="13"/>
        <v>1.03981174955288</v>
      </c>
      <c r="F35" s="35">
        <f t="shared" ref="F35:Q35" si="15">F5-F14</f>
        <v>-69.619249612672903</v>
      </c>
      <c r="G35" s="35">
        <f t="shared" si="15"/>
        <v>-66.686698254339504</v>
      </c>
      <c r="H35" s="35">
        <f t="shared" si="15"/>
        <v>39.863958783750498</v>
      </c>
      <c r="I35" s="35">
        <f t="shared" si="15"/>
        <v>56.793738481444002</v>
      </c>
      <c r="J35" s="35">
        <f t="shared" si="15"/>
        <v>25.345321843664902</v>
      </c>
      <c r="K35" s="35">
        <f t="shared" si="15"/>
        <v>27.2729333022363</v>
      </c>
      <c r="L35" s="35">
        <f t="shared" si="15"/>
        <v>-51.410546786172802</v>
      </c>
      <c r="M35" s="35">
        <f t="shared" si="15"/>
        <v>30.318993322177299</v>
      </c>
      <c r="N35" s="35">
        <f t="shared" si="15"/>
        <v>28.066958352177402</v>
      </c>
      <c r="O35" s="35">
        <f t="shared" si="15"/>
        <v>23.600059359913399</v>
      </c>
      <c r="P35" s="35">
        <f t="shared" si="15"/>
        <v>32.239580993686999</v>
      </c>
      <c r="Q35" s="35">
        <f t="shared" si="15"/>
        <v>-74.745238036312699</v>
      </c>
      <c r="R35" s="12"/>
      <c r="S35" s="59"/>
      <c r="T35" s="61"/>
      <c r="V35" s="61"/>
      <c r="W35" s="61"/>
      <c r="X35" s="61"/>
      <c r="Y35" s="61"/>
      <c r="Z35" s="61"/>
      <c r="AA35" s="61"/>
      <c r="AB35" s="61"/>
      <c r="AC35" s="61"/>
      <c r="AD35" s="61"/>
      <c r="AE35" s="61"/>
      <c r="AF35" s="61"/>
      <c r="AG35" s="61"/>
      <c r="AH35" s="61"/>
      <c r="AI35" s="61"/>
      <c r="AJ35" s="61"/>
      <c r="AK35" s="61"/>
      <c r="AL35" s="61"/>
      <c r="AM35" s="61"/>
      <c r="AN35" s="61"/>
      <c r="AO35" s="61"/>
      <c r="AP35" s="61"/>
      <c r="AQ35" s="61"/>
      <c r="AR35" s="61"/>
      <c r="AS35" s="61"/>
      <c r="AT35" s="61"/>
      <c r="AU35" s="61"/>
      <c r="AV35" s="61"/>
      <c r="AW35" s="61"/>
      <c r="AX35" s="61"/>
      <c r="AY35" s="61"/>
      <c r="AZ35" s="61"/>
      <c r="BA35" s="61"/>
      <c r="BB35" s="61"/>
      <c r="BC35" s="61"/>
      <c r="BD35" s="61"/>
      <c r="BE35" s="61"/>
      <c r="BF35" s="61"/>
      <c r="BG35" s="61"/>
      <c r="BH35" s="61"/>
      <c r="BI35" s="61"/>
      <c r="BJ35" s="61"/>
      <c r="BK35" s="61"/>
      <c r="BL35" s="61"/>
      <c r="BM35" s="61"/>
      <c r="BN35" s="61"/>
      <c r="BO35" s="61"/>
      <c r="BP35" s="61"/>
      <c r="BQ35" s="61"/>
      <c r="BR35" s="61"/>
      <c r="BS35" s="61"/>
      <c r="BT35" s="61"/>
      <c r="BU35" s="61"/>
      <c r="BV35" s="61"/>
      <c r="BW35" s="61"/>
      <c r="BX35" s="61"/>
      <c r="BY35" s="61"/>
      <c r="BZ35" s="61"/>
      <c r="CA35" s="61"/>
      <c r="CB35" s="61"/>
      <c r="CC35" s="61"/>
      <c r="CD35" s="61"/>
      <c r="CE35" s="61"/>
      <c r="CF35" s="61"/>
      <c r="CG35" s="61"/>
      <c r="CH35" s="61"/>
      <c r="CI35" s="61"/>
      <c r="CJ35" s="61"/>
      <c r="CK35" s="61"/>
      <c r="CL35" s="61"/>
      <c r="CM35" s="61"/>
      <c r="CN35" s="61"/>
      <c r="CO35" s="61"/>
      <c r="CP35" s="61"/>
      <c r="CQ35" s="61"/>
      <c r="CR35" s="61"/>
      <c r="CS35" s="61"/>
      <c r="CT35" s="61"/>
      <c r="CU35" s="61"/>
      <c r="CV35" s="61"/>
      <c r="CW35" s="61"/>
      <c r="CX35" s="61"/>
      <c r="CY35" s="61"/>
      <c r="CZ35" s="61"/>
      <c r="DA35" s="61"/>
      <c r="DB35" s="61"/>
      <c r="DC35" s="61"/>
      <c r="DD35" s="61"/>
      <c r="DE35" s="61"/>
      <c r="DF35" s="61"/>
      <c r="DG35" s="61"/>
      <c r="DH35" s="61"/>
      <c r="DI35" s="61"/>
      <c r="DJ35" s="61"/>
      <c r="DK35" s="61"/>
      <c r="DL35" s="61"/>
      <c r="DM35" s="61"/>
      <c r="DN35" s="61"/>
      <c r="DO35" s="61"/>
      <c r="DP35" s="61"/>
      <c r="DQ35" s="61"/>
      <c r="DR35" s="61"/>
      <c r="DS35" s="61"/>
      <c r="DT35" s="61"/>
      <c r="DU35" s="61"/>
      <c r="DV35" s="61"/>
      <c r="DW35" s="61"/>
      <c r="DX35" s="61"/>
      <c r="DY35" s="61"/>
      <c r="DZ35" s="61"/>
      <c r="EA35" s="61"/>
      <c r="EB35" s="61"/>
      <c r="EC35" s="61"/>
      <c r="ED35" s="61"/>
      <c r="EE35" s="61"/>
      <c r="EF35" s="61"/>
      <c r="EG35" s="61"/>
      <c r="EH35" s="61"/>
      <c r="EI35" s="61"/>
      <c r="EJ35" s="61"/>
      <c r="EK35" s="61"/>
      <c r="EL35" s="61"/>
      <c r="EM35" s="61"/>
      <c r="EN35" s="61"/>
      <c r="EO35" s="61"/>
      <c r="EP35" s="61"/>
      <c r="EQ35" s="61"/>
      <c r="ER35" s="61"/>
      <c r="ES35" s="61"/>
      <c r="ET35" s="61"/>
      <c r="EU35" s="61"/>
      <c r="EV35" s="61"/>
      <c r="EW35" s="61"/>
      <c r="EX35" s="61"/>
      <c r="EY35" s="61"/>
      <c r="EZ35" s="61"/>
      <c r="FA35" s="61"/>
      <c r="FB35" s="61"/>
      <c r="FC35" s="61"/>
      <c r="FD35" s="61"/>
      <c r="FE35" s="61"/>
      <c r="FF35" s="61"/>
      <c r="FG35" s="61"/>
      <c r="FH35" s="61"/>
      <c r="FI35" s="61"/>
      <c r="FJ35" s="61"/>
      <c r="FK35" s="61"/>
      <c r="FL35" s="61"/>
      <c r="FM35" s="61"/>
      <c r="FN35" s="61"/>
      <c r="FO35" s="61"/>
      <c r="FP35" s="61"/>
      <c r="FQ35" s="61"/>
      <c r="FR35" s="61"/>
      <c r="FS35" s="61"/>
      <c r="FT35" s="61"/>
      <c r="FU35" s="61"/>
      <c r="FV35" s="61"/>
      <c r="FW35" s="61"/>
      <c r="FX35" s="61"/>
      <c r="FY35" s="61"/>
      <c r="FZ35" s="61"/>
      <c r="GA35" s="61"/>
      <c r="GB35" s="61"/>
      <c r="GC35" s="61"/>
    </row>
    <row r="36" spans="1:185" s="57" customFormat="1" ht="15" customHeight="1" x14ac:dyDescent="0.3">
      <c r="A36" s="59"/>
      <c r="B36" s="23"/>
      <c r="C36" s="74" t="s">
        <v>100</v>
      </c>
      <c r="D36" s="25" t="s">
        <v>20</v>
      </c>
      <c r="E36" s="88">
        <f t="shared" si="13"/>
        <v>0</v>
      </c>
      <c r="F36" s="39"/>
      <c r="G36" s="39"/>
      <c r="H36" s="44"/>
      <c r="I36" s="44"/>
      <c r="J36" s="39"/>
      <c r="K36" s="39"/>
      <c r="L36" s="39"/>
      <c r="M36" s="39"/>
      <c r="N36" s="39"/>
      <c r="O36" s="39"/>
      <c r="P36" s="39"/>
      <c r="Q36" s="39"/>
      <c r="R36" s="74"/>
      <c r="S36" s="59"/>
      <c r="T36" s="61"/>
      <c r="V36" s="61"/>
      <c r="AG36" s="61"/>
      <c r="AH36" s="61"/>
      <c r="AI36" s="61"/>
      <c r="AJ36" s="61"/>
      <c r="AK36" s="61"/>
      <c r="AL36" s="61"/>
      <c r="AM36" s="61"/>
      <c r="AN36" s="61"/>
      <c r="AO36" s="61"/>
      <c r="AP36" s="61"/>
      <c r="AQ36" s="61"/>
      <c r="AR36" s="61"/>
      <c r="AS36" s="61"/>
      <c r="AT36" s="61"/>
      <c r="AU36" s="61"/>
      <c r="AV36" s="61"/>
      <c r="AW36" s="61"/>
      <c r="AX36" s="61"/>
      <c r="AY36" s="61"/>
      <c r="AZ36" s="61"/>
      <c r="BA36" s="61"/>
      <c r="BB36" s="61"/>
      <c r="BC36" s="61"/>
      <c r="BD36" s="61"/>
      <c r="BE36" s="61"/>
      <c r="BF36" s="61"/>
      <c r="BG36" s="61"/>
      <c r="BH36" s="61"/>
      <c r="BI36" s="61"/>
      <c r="BJ36" s="61"/>
      <c r="BK36" s="61"/>
      <c r="BL36" s="61"/>
      <c r="BM36" s="61"/>
      <c r="BN36" s="61"/>
      <c r="BO36" s="61"/>
      <c r="BP36" s="61"/>
      <c r="BQ36" s="61"/>
      <c r="BR36" s="61"/>
      <c r="BS36" s="61"/>
      <c r="BT36" s="61"/>
      <c r="BU36" s="61"/>
      <c r="BV36" s="61"/>
      <c r="BW36" s="61"/>
      <c r="BX36" s="61"/>
      <c r="BY36" s="61"/>
      <c r="BZ36" s="61"/>
      <c r="CA36" s="61"/>
      <c r="CB36" s="61"/>
      <c r="CC36" s="61"/>
      <c r="CD36" s="61"/>
      <c r="CE36" s="61"/>
      <c r="CF36" s="61"/>
      <c r="CG36" s="61"/>
      <c r="CH36" s="61"/>
      <c r="CI36" s="61"/>
      <c r="CJ36" s="61"/>
      <c r="CK36" s="61"/>
      <c r="CL36" s="61"/>
      <c r="CM36" s="61"/>
      <c r="CN36" s="61"/>
      <c r="CO36" s="61"/>
      <c r="CP36" s="61"/>
      <c r="CQ36" s="61"/>
      <c r="CR36" s="61"/>
      <c r="CS36" s="61"/>
      <c r="CT36" s="61"/>
      <c r="CU36" s="61"/>
      <c r="CV36" s="61"/>
      <c r="CW36" s="61"/>
      <c r="CX36" s="61"/>
      <c r="CY36" s="61"/>
      <c r="CZ36" s="61"/>
      <c r="DA36" s="61"/>
      <c r="DB36" s="61"/>
      <c r="DC36" s="61"/>
      <c r="DD36" s="61"/>
      <c r="DE36" s="61"/>
      <c r="DF36" s="61"/>
      <c r="DG36" s="61"/>
      <c r="DH36" s="61"/>
      <c r="DI36" s="61"/>
      <c r="DJ36" s="61"/>
      <c r="DK36" s="61"/>
      <c r="DL36" s="61"/>
      <c r="DM36" s="61"/>
      <c r="DN36" s="61"/>
      <c r="DO36" s="61"/>
      <c r="DP36" s="61"/>
      <c r="DQ36" s="61"/>
      <c r="DR36" s="61"/>
      <c r="DS36" s="61"/>
      <c r="DT36" s="61"/>
      <c r="DU36" s="61"/>
      <c r="DV36" s="61"/>
      <c r="DW36" s="61"/>
      <c r="DX36" s="61"/>
      <c r="DY36" s="61"/>
      <c r="DZ36" s="61"/>
      <c r="EA36" s="61"/>
      <c r="EB36" s="61"/>
      <c r="EC36" s="61"/>
      <c r="ED36" s="61"/>
      <c r="EE36" s="61"/>
      <c r="EF36" s="61"/>
      <c r="EG36" s="61"/>
      <c r="EH36" s="61"/>
      <c r="EI36" s="61"/>
      <c r="EJ36" s="61"/>
      <c r="EK36" s="61"/>
      <c r="EL36" s="61"/>
      <c r="EM36" s="61"/>
      <c r="EN36" s="61"/>
      <c r="EO36" s="61"/>
      <c r="EP36" s="61"/>
      <c r="EQ36" s="61"/>
      <c r="ER36" s="61"/>
      <c r="ES36" s="61"/>
      <c r="ET36" s="61"/>
      <c r="EU36" s="61"/>
      <c r="EV36" s="61"/>
      <c r="EW36" s="61"/>
      <c r="EX36" s="61"/>
      <c r="EY36" s="61"/>
      <c r="EZ36" s="61"/>
      <c r="FA36" s="61"/>
      <c r="FB36" s="61"/>
      <c r="FC36" s="61"/>
      <c r="FD36" s="61"/>
      <c r="FE36" s="61"/>
      <c r="FF36" s="61"/>
      <c r="FG36" s="61"/>
      <c r="FH36" s="61"/>
      <c r="FI36" s="61"/>
      <c r="FJ36" s="61"/>
      <c r="FK36" s="61"/>
      <c r="FL36" s="61"/>
      <c r="FM36" s="61"/>
      <c r="FN36" s="61"/>
      <c r="FO36" s="61"/>
      <c r="FP36" s="61"/>
      <c r="FQ36" s="61"/>
      <c r="FR36" s="61"/>
      <c r="FS36" s="61"/>
      <c r="FT36" s="61"/>
      <c r="FU36" s="61"/>
      <c r="FV36" s="61"/>
      <c r="FW36" s="61"/>
      <c r="FX36" s="61"/>
      <c r="FY36" s="61"/>
      <c r="FZ36" s="61"/>
      <c r="GA36" s="61"/>
      <c r="GB36" s="61"/>
      <c r="GC36" s="61"/>
    </row>
    <row r="37" spans="1:185" s="57" customFormat="1" ht="15" customHeight="1" x14ac:dyDescent="0.3">
      <c r="A37" s="59"/>
      <c r="B37" s="23"/>
      <c r="C37" s="74" t="s">
        <v>101</v>
      </c>
      <c r="D37" s="25" t="s">
        <v>20</v>
      </c>
      <c r="E37" s="88">
        <f t="shared" si="13"/>
        <v>0</v>
      </c>
      <c r="F37" s="39"/>
      <c r="G37" s="39"/>
      <c r="H37" s="44"/>
      <c r="I37" s="44"/>
      <c r="J37" s="39"/>
      <c r="K37" s="39"/>
      <c r="L37" s="39"/>
      <c r="M37" s="39"/>
      <c r="N37" s="39"/>
      <c r="O37" s="39"/>
      <c r="P37" s="39"/>
      <c r="Q37" s="39"/>
      <c r="R37" s="74"/>
      <c r="S37" s="59"/>
      <c r="T37" s="61"/>
      <c r="AG37" s="61"/>
      <c r="AH37" s="61"/>
      <c r="AI37" s="61"/>
      <c r="AJ37" s="61"/>
      <c r="AK37" s="61"/>
      <c r="AL37" s="61"/>
      <c r="AM37" s="61"/>
      <c r="AN37" s="61"/>
      <c r="AO37" s="61"/>
      <c r="AP37" s="61"/>
      <c r="AQ37" s="61"/>
      <c r="AR37" s="61"/>
      <c r="AS37" s="61"/>
      <c r="AT37" s="61"/>
      <c r="AU37" s="61"/>
      <c r="AV37" s="61"/>
      <c r="AW37" s="61"/>
      <c r="AX37" s="61"/>
      <c r="AY37" s="61"/>
      <c r="AZ37" s="61"/>
      <c r="BA37" s="61"/>
      <c r="BB37" s="61"/>
      <c r="BC37" s="61"/>
      <c r="BD37" s="61"/>
      <c r="BE37" s="61"/>
      <c r="BF37" s="61"/>
      <c r="BG37" s="61"/>
      <c r="BH37" s="61"/>
      <c r="BI37" s="61"/>
      <c r="BJ37" s="61"/>
      <c r="BK37" s="61"/>
      <c r="BL37" s="61"/>
      <c r="BM37" s="61"/>
      <c r="BN37" s="61"/>
      <c r="BO37" s="61"/>
      <c r="BP37" s="61"/>
      <c r="BQ37" s="61"/>
      <c r="BR37" s="61"/>
      <c r="BS37" s="61"/>
      <c r="BT37" s="61"/>
      <c r="BU37" s="61"/>
      <c r="BV37" s="61"/>
      <c r="BW37" s="61"/>
      <c r="BX37" s="61"/>
      <c r="BY37" s="61"/>
      <c r="BZ37" s="61"/>
      <c r="CA37" s="61"/>
      <c r="CB37" s="61"/>
      <c r="CC37" s="61"/>
      <c r="CD37" s="61"/>
      <c r="CE37" s="61"/>
      <c r="CF37" s="61"/>
      <c r="CG37" s="61"/>
      <c r="CH37" s="61"/>
      <c r="CI37" s="61"/>
      <c r="CJ37" s="61"/>
      <c r="CK37" s="61"/>
      <c r="CL37" s="61"/>
      <c r="CM37" s="61"/>
      <c r="CN37" s="61"/>
      <c r="CO37" s="61"/>
      <c r="CP37" s="61"/>
      <c r="CQ37" s="61"/>
      <c r="CR37" s="61"/>
      <c r="CS37" s="61"/>
      <c r="CT37" s="61"/>
      <c r="CU37" s="61"/>
      <c r="CV37" s="61"/>
      <c r="CW37" s="61"/>
      <c r="CX37" s="61"/>
      <c r="CY37" s="61"/>
      <c r="CZ37" s="61"/>
      <c r="DA37" s="61"/>
      <c r="DB37" s="61"/>
      <c r="DC37" s="61"/>
      <c r="DD37" s="61"/>
      <c r="DE37" s="61"/>
      <c r="DF37" s="61"/>
      <c r="DG37" s="61"/>
      <c r="DH37" s="61"/>
      <c r="DI37" s="61"/>
      <c r="DJ37" s="61"/>
      <c r="DK37" s="61"/>
      <c r="DL37" s="61"/>
      <c r="DM37" s="61"/>
      <c r="DN37" s="61"/>
      <c r="DO37" s="61"/>
      <c r="DP37" s="61"/>
      <c r="DQ37" s="61"/>
      <c r="DR37" s="61"/>
      <c r="DS37" s="61"/>
      <c r="DT37" s="61"/>
      <c r="DU37" s="61"/>
      <c r="DV37" s="61"/>
      <c r="DW37" s="61"/>
      <c r="DX37" s="61"/>
      <c r="DY37" s="61"/>
      <c r="DZ37" s="61"/>
      <c r="EA37" s="61"/>
      <c r="EB37" s="61"/>
      <c r="EC37" s="61"/>
      <c r="ED37" s="61"/>
      <c r="EE37" s="61"/>
      <c r="EF37" s="61"/>
      <c r="EG37" s="61"/>
      <c r="EH37" s="61"/>
      <c r="EI37" s="61"/>
      <c r="EJ37" s="61"/>
      <c r="EK37" s="61"/>
      <c r="EL37" s="61"/>
      <c r="EM37" s="61"/>
      <c r="EN37" s="61"/>
      <c r="EO37" s="61"/>
      <c r="EP37" s="61"/>
      <c r="EQ37" s="61"/>
      <c r="ER37" s="61"/>
      <c r="ES37" s="61"/>
      <c r="ET37" s="61"/>
      <c r="EU37" s="61"/>
      <c r="EV37" s="61"/>
      <c r="EW37" s="61"/>
      <c r="EX37" s="61"/>
      <c r="EY37" s="61"/>
      <c r="EZ37" s="61"/>
      <c r="FA37" s="61"/>
      <c r="FB37" s="61"/>
      <c r="FC37" s="61"/>
      <c r="FD37" s="61"/>
      <c r="FE37" s="61"/>
      <c r="FF37" s="61"/>
      <c r="FG37" s="61"/>
      <c r="FH37" s="61"/>
      <c r="FI37" s="61"/>
      <c r="FJ37" s="61"/>
      <c r="FK37" s="61"/>
      <c r="FL37" s="61"/>
      <c r="FM37" s="61"/>
      <c r="FN37" s="61"/>
      <c r="FO37" s="61"/>
      <c r="FP37" s="61"/>
      <c r="FQ37" s="61"/>
      <c r="FR37" s="61"/>
      <c r="FS37" s="61"/>
      <c r="FT37" s="61"/>
      <c r="FU37" s="61"/>
      <c r="FV37" s="61"/>
      <c r="FW37" s="61"/>
      <c r="FX37" s="61"/>
      <c r="FY37" s="61"/>
      <c r="FZ37" s="61"/>
      <c r="GA37" s="61"/>
      <c r="GB37" s="61"/>
      <c r="GC37" s="61"/>
    </row>
    <row r="38" spans="1:185" ht="15" customHeight="1" x14ac:dyDescent="0.3">
      <c r="B38" s="11">
        <v>4</v>
      </c>
      <c r="C38" s="12" t="s">
        <v>22</v>
      </c>
      <c r="D38" s="13" t="s">
        <v>20</v>
      </c>
      <c r="E38" s="72">
        <f t="shared" si="13"/>
        <v>1.03981174955288</v>
      </c>
      <c r="F38" s="35">
        <f t="shared" ref="F38:Q38" si="16">F35-F37+F36</f>
        <v>-69.619249612672903</v>
      </c>
      <c r="G38" s="35">
        <f t="shared" si="16"/>
        <v>-66.686698254339504</v>
      </c>
      <c r="H38" s="35">
        <f t="shared" si="16"/>
        <v>39.863958783750498</v>
      </c>
      <c r="I38" s="35">
        <f t="shared" si="16"/>
        <v>56.793738481444002</v>
      </c>
      <c r="J38" s="35">
        <f t="shared" si="16"/>
        <v>25.345321843664902</v>
      </c>
      <c r="K38" s="35">
        <f t="shared" si="16"/>
        <v>27.2729333022363</v>
      </c>
      <c r="L38" s="35">
        <f t="shared" si="16"/>
        <v>-51.410546786172802</v>
      </c>
      <c r="M38" s="35">
        <f t="shared" si="16"/>
        <v>30.318993322177299</v>
      </c>
      <c r="N38" s="35">
        <f t="shared" si="16"/>
        <v>28.066958352177402</v>
      </c>
      <c r="O38" s="35">
        <f t="shared" si="16"/>
        <v>23.600059359913399</v>
      </c>
      <c r="P38" s="35">
        <f t="shared" si="16"/>
        <v>32.239580993686999</v>
      </c>
      <c r="Q38" s="35">
        <f t="shared" si="16"/>
        <v>-74.745238036312699</v>
      </c>
      <c r="R38" s="12"/>
      <c r="U38" s="57"/>
      <c r="V38" s="57"/>
    </row>
    <row r="39" spans="1:185" s="57" customFormat="1" ht="15" customHeight="1" x14ac:dyDescent="0.3">
      <c r="A39" s="59"/>
      <c r="B39" s="23"/>
      <c r="C39" s="74" t="s">
        <v>102</v>
      </c>
      <c r="D39" s="25" t="s">
        <v>20</v>
      </c>
      <c r="E39" s="88">
        <f t="shared" si="13"/>
        <v>0</v>
      </c>
      <c r="F39" s="39"/>
      <c r="G39" s="39"/>
      <c r="H39" s="39"/>
      <c r="I39" s="39"/>
      <c r="J39" s="39"/>
      <c r="K39" s="39"/>
      <c r="L39" s="39"/>
      <c r="M39" s="39"/>
      <c r="N39" s="55"/>
      <c r="O39" s="55"/>
      <c r="P39" s="55"/>
      <c r="Q39" s="55"/>
      <c r="R39" s="74"/>
      <c r="S39" s="59"/>
      <c r="T39" s="61"/>
      <c r="U39" s="61"/>
      <c r="V39" s="61"/>
      <c r="AG39" s="61"/>
      <c r="AH39" s="61"/>
      <c r="AI39" s="61"/>
      <c r="AJ39" s="61"/>
      <c r="AK39" s="61"/>
      <c r="AL39" s="61"/>
      <c r="AM39" s="61"/>
      <c r="AN39" s="61"/>
      <c r="AO39" s="61"/>
      <c r="AP39" s="61"/>
      <c r="AQ39" s="61"/>
      <c r="AR39" s="61"/>
      <c r="AS39" s="61"/>
      <c r="AT39" s="61"/>
      <c r="AU39" s="61"/>
      <c r="AV39" s="61"/>
      <c r="AW39" s="61"/>
      <c r="AX39" s="61"/>
      <c r="AY39" s="61"/>
      <c r="AZ39" s="61"/>
      <c r="BA39" s="61"/>
      <c r="BB39" s="61"/>
      <c r="BC39" s="61"/>
      <c r="BD39" s="61"/>
      <c r="BE39" s="61"/>
      <c r="BF39" s="61"/>
      <c r="BG39" s="61"/>
      <c r="BH39" s="61"/>
      <c r="BI39" s="61"/>
      <c r="BJ39" s="61"/>
      <c r="BK39" s="61"/>
      <c r="BL39" s="61"/>
      <c r="BM39" s="61"/>
      <c r="BN39" s="61"/>
      <c r="BO39" s="61"/>
      <c r="BP39" s="61"/>
      <c r="BQ39" s="61"/>
      <c r="BR39" s="61"/>
      <c r="BS39" s="61"/>
      <c r="BT39" s="61"/>
      <c r="BU39" s="61"/>
      <c r="BV39" s="61"/>
      <c r="BW39" s="61"/>
      <c r="BX39" s="61"/>
      <c r="BY39" s="61"/>
      <c r="BZ39" s="61"/>
      <c r="CA39" s="61"/>
      <c r="CB39" s="61"/>
      <c r="CC39" s="61"/>
      <c r="CD39" s="61"/>
      <c r="CE39" s="61"/>
      <c r="CF39" s="61"/>
      <c r="CG39" s="61"/>
      <c r="CH39" s="61"/>
      <c r="CI39" s="61"/>
      <c r="CJ39" s="61"/>
      <c r="CK39" s="61"/>
      <c r="CL39" s="61"/>
      <c r="CM39" s="61"/>
      <c r="CN39" s="61"/>
      <c r="CO39" s="61"/>
      <c r="CP39" s="61"/>
      <c r="CQ39" s="61"/>
      <c r="CR39" s="61"/>
      <c r="CS39" s="61"/>
      <c r="CT39" s="61"/>
      <c r="CU39" s="61"/>
      <c r="CV39" s="61"/>
      <c r="CW39" s="61"/>
      <c r="CX39" s="61"/>
      <c r="CY39" s="61"/>
      <c r="CZ39" s="61"/>
      <c r="DA39" s="61"/>
      <c r="DB39" s="61"/>
      <c r="DC39" s="61"/>
      <c r="DD39" s="61"/>
      <c r="DE39" s="61"/>
      <c r="DF39" s="61"/>
      <c r="DG39" s="61"/>
      <c r="DH39" s="61"/>
      <c r="DI39" s="61"/>
      <c r="DJ39" s="61"/>
      <c r="DK39" s="61"/>
      <c r="DL39" s="61"/>
      <c r="DM39" s="61"/>
      <c r="DN39" s="61"/>
      <c r="DO39" s="61"/>
      <c r="DP39" s="61"/>
      <c r="DQ39" s="61"/>
      <c r="DR39" s="61"/>
      <c r="DS39" s="61"/>
      <c r="DT39" s="61"/>
      <c r="DU39" s="61"/>
      <c r="DV39" s="61"/>
      <c r="DW39" s="61"/>
      <c r="DX39" s="61"/>
      <c r="DY39" s="61"/>
      <c r="DZ39" s="61"/>
      <c r="EA39" s="61"/>
      <c r="EB39" s="61"/>
      <c r="EC39" s="61"/>
      <c r="ED39" s="61"/>
      <c r="EE39" s="61"/>
      <c r="EF39" s="61"/>
      <c r="EG39" s="61"/>
      <c r="EH39" s="61"/>
      <c r="EI39" s="61"/>
      <c r="EJ39" s="61"/>
      <c r="EK39" s="61"/>
      <c r="EL39" s="61"/>
      <c r="EM39" s="61"/>
      <c r="EN39" s="61"/>
      <c r="EO39" s="61"/>
      <c r="EP39" s="61"/>
      <c r="EQ39" s="61"/>
      <c r="ER39" s="61"/>
      <c r="ES39" s="61"/>
      <c r="ET39" s="61"/>
      <c r="EU39" s="61"/>
      <c r="EV39" s="61"/>
      <c r="EW39" s="61"/>
      <c r="EX39" s="61"/>
      <c r="EY39" s="61"/>
      <c r="EZ39" s="61"/>
      <c r="FA39" s="61"/>
      <c r="FB39" s="61"/>
      <c r="FC39" s="61"/>
      <c r="FD39" s="61"/>
      <c r="FE39" s="61"/>
      <c r="FF39" s="61"/>
      <c r="FG39" s="61"/>
      <c r="FH39" s="61"/>
      <c r="FI39" s="61"/>
      <c r="FJ39" s="61"/>
      <c r="FK39" s="61"/>
      <c r="FL39" s="61"/>
      <c r="FM39" s="61"/>
      <c r="FN39" s="61"/>
      <c r="FO39" s="61"/>
      <c r="FP39" s="61"/>
      <c r="FQ39" s="61"/>
      <c r="FR39" s="61"/>
      <c r="FS39" s="61"/>
      <c r="FT39" s="61"/>
      <c r="FU39" s="61"/>
      <c r="FV39" s="61"/>
      <c r="FW39" s="61"/>
      <c r="FX39" s="61"/>
      <c r="FY39" s="61"/>
      <c r="FZ39" s="61"/>
      <c r="GA39" s="61"/>
      <c r="GB39" s="61"/>
      <c r="GC39" s="61"/>
    </row>
    <row r="40" spans="1:185" s="57" customFormat="1" ht="15" customHeight="1" x14ac:dyDescent="0.3">
      <c r="A40" s="59"/>
      <c r="B40" s="11">
        <v>5</v>
      </c>
      <c r="C40" s="12" t="s">
        <v>103</v>
      </c>
      <c r="D40" s="13" t="s">
        <v>20</v>
      </c>
      <c r="E40" s="72">
        <f t="shared" si="13"/>
        <v>1.03981174955288</v>
      </c>
      <c r="F40" s="35">
        <f t="shared" ref="F40:Q40" si="17">F38-F39</f>
        <v>-69.619249612672903</v>
      </c>
      <c r="G40" s="35">
        <f t="shared" si="17"/>
        <v>-66.686698254339504</v>
      </c>
      <c r="H40" s="35">
        <f t="shared" si="17"/>
        <v>39.863958783750498</v>
      </c>
      <c r="I40" s="35">
        <f t="shared" si="17"/>
        <v>56.793738481444002</v>
      </c>
      <c r="J40" s="35">
        <f t="shared" si="17"/>
        <v>25.345321843664902</v>
      </c>
      <c r="K40" s="35">
        <f t="shared" si="17"/>
        <v>27.2729333022363</v>
      </c>
      <c r="L40" s="35">
        <f t="shared" si="17"/>
        <v>-51.410546786172802</v>
      </c>
      <c r="M40" s="35">
        <f t="shared" si="17"/>
        <v>30.318993322177299</v>
      </c>
      <c r="N40" s="35">
        <f t="shared" si="17"/>
        <v>28.066958352177402</v>
      </c>
      <c r="O40" s="35">
        <f t="shared" si="17"/>
        <v>23.600059359913399</v>
      </c>
      <c r="P40" s="35">
        <f t="shared" si="17"/>
        <v>32.239580993686999</v>
      </c>
      <c r="Q40" s="35">
        <f t="shared" si="17"/>
        <v>-74.745238036312699</v>
      </c>
      <c r="R40" s="12"/>
      <c r="S40" s="59"/>
      <c r="T40" s="61"/>
      <c r="AG40" s="61"/>
      <c r="AH40" s="61"/>
      <c r="AI40" s="61"/>
      <c r="AJ40" s="61"/>
      <c r="AK40" s="61"/>
      <c r="AL40" s="61"/>
      <c r="AM40" s="61"/>
      <c r="AN40" s="61"/>
      <c r="AO40" s="61"/>
      <c r="AP40" s="61"/>
      <c r="AQ40" s="61"/>
      <c r="AR40" s="61"/>
      <c r="AS40" s="61"/>
      <c r="AT40" s="61"/>
      <c r="AU40" s="61"/>
      <c r="AV40" s="61"/>
      <c r="AW40" s="61"/>
      <c r="AX40" s="61"/>
      <c r="AY40" s="61"/>
      <c r="AZ40" s="61"/>
      <c r="BA40" s="61"/>
      <c r="BB40" s="61"/>
      <c r="BC40" s="61"/>
      <c r="BD40" s="61"/>
      <c r="BE40" s="61"/>
      <c r="BF40" s="61"/>
      <c r="BG40" s="61"/>
      <c r="BH40" s="61"/>
      <c r="BI40" s="61"/>
      <c r="BJ40" s="61"/>
      <c r="BK40" s="61"/>
      <c r="BL40" s="61"/>
      <c r="BM40" s="61"/>
      <c r="BN40" s="61"/>
      <c r="BO40" s="61"/>
      <c r="BP40" s="61"/>
      <c r="BQ40" s="61"/>
      <c r="BR40" s="61"/>
      <c r="BS40" s="61"/>
      <c r="BT40" s="61"/>
      <c r="BU40" s="61"/>
      <c r="BV40" s="61"/>
      <c r="BW40" s="61"/>
      <c r="BX40" s="61"/>
      <c r="BY40" s="61"/>
      <c r="BZ40" s="61"/>
      <c r="CA40" s="61"/>
      <c r="CB40" s="61"/>
      <c r="CC40" s="61"/>
      <c r="CD40" s="61"/>
      <c r="CE40" s="61"/>
      <c r="CF40" s="61"/>
      <c r="CG40" s="61"/>
      <c r="CH40" s="61"/>
      <c r="CI40" s="61"/>
      <c r="CJ40" s="61"/>
      <c r="CK40" s="61"/>
      <c r="CL40" s="61"/>
      <c r="CM40" s="61"/>
      <c r="CN40" s="61"/>
      <c r="CO40" s="61"/>
      <c r="CP40" s="61"/>
      <c r="CQ40" s="61"/>
      <c r="CR40" s="61"/>
      <c r="CS40" s="61"/>
      <c r="CT40" s="61"/>
      <c r="CU40" s="61"/>
      <c r="CV40" s="61"/>
      <c r="CW40" s="61"/>
      <c r="CX40" s="61"/>
      <c r="CY40" s="61"/>
      <c r="CZ40" s="61"/>
      <c r="DA40" s="61"/>
      <c r="DB40" s="61"/>
      <c r="DC40" s="61"/>
      <c r="DD40" s="61"/>
      <c r="DE40" s="61"/>
      <c r="DF40" s="61"/>
      <c r="DG40" s="61"/>
      <c r="DH40" s="61"/>
      <c r="DI40" s="61"/>
      <c r="DJ40" s="61"/>
      <c r="DK40" s="61"/>
      <c r="DL40" s="61"/>
      <c r="DM40" s="61"/>
      <c r="DN40" s="61"/>
      <c r="DO40" s="61"/>
      <c r="DP40" s="61"/>
      <c r="DQ40" s="61"/>
      <c r="DR40" s="61"/>
      <c r="DS40" s="61"/>
      <c r="DT40" s="61"/>
      <c r="DU40" s="61"/>
      <c r="DV40" s="61"/>
      <c r="DW40" s="61"/>
      <c r="DX40" s="61"/>
      <c r="DY40" s="61"/>
      <c r="DZ40" s="61"/>
      <c r="EA40" s="61"/>
      <c r="EB40" s="61"/>
      <c r="EC40" s="61"/>
      <c r="ED40" s="61"/>
      <c r="EE40" s="61"/>
      <c r="EF40" s="61"/>
      <c r="EG40" s="61"/>
      <c r="EH40" s="61"/>
      <c r="EI40" s="61"/>
      <c r="EJ40" s="61"/>
      <c r="EK40" s="61"/>
      <c r="EL40" s="61"/>
      <c r="EM40" s="61"/>
      <c r="EN40" s="61"/>
      <c r="EO40" s="61"/>
      <c r="EP40" s="61"/>
      <c r="EQ40" s="61"/>
      <c r="ER40" s="61"/>
      <c r="ES40" s="61"/>
      <c r="ET40" s="61"/>
      <c r="EU40" s="61"/>
      <c r="EV40" s="61"/>
      <c r="EW40" s="61"/>
      <c r="EX40" s="61"/>
      <c r="EY40" s="61"/>
      <c r="EZ40" s="61"/>
      <c r="FA40" s="61"/>
      <c r="FB40" s="61"/>
      <c r="FC40" s="61"/>
      <c r="FD40" s="61"/>
      <c r="FE40" s="61"/>
      <c r="FF40" s="61"/>
      <c r="FG40" s="61"/>
      <c r="FH40" s="61"/>
      <c r="FI40" s="61"/>
      <c r="FJ40" s="61"/>
      <c r="FK40" s="61"/>
      <c r="FL40" s="61"/>
      <c r="FM40" s="61"/>
      <c r="FN40" s="61"/>
      <c r="FO40" s="61"/>
      <c r="FP40" s="61"/>
      <c r="FQ40" s="61"/>
      <c r="FR40" s="61"/>
      <c r="FS40" s="61"/>
      <c r="FT40" s="61"/>
      <c r="FU40" s="61"/>
      <c r="FV40" s="61"/>
      <c r="FW40" s="61"/>
      <c r="FX40" s="61"/>
      <c r="FY40" s="61"/>
      <c r="FZ40" s="61"/>
      <c r="GA40" s="61"/>
      <c r="GB40" s="61"/>
      <c r="GC40" s="61"/>
    </row>
    <row r="41" spans="1:185" s="57" customFormat="1" ht="15" customHeight="1" x14ac:dyDescent="0.3">
      <c r="A41" s="59"/>
      <c r="B41" s="11">
        <v>6</v>
      </c>
      <c r="C41" s="12" t="s">
        <v>104</v>
      </c>
      <c r="D41" s="13" t="s">
        <v>20</v>
      </c>
      <c r="E41" s="72">
        <f t="shared" si="13"/>
        <v>13.25</v>
      </c>
      <c r="F41" s="35">
        <f t="shared" ref="F41:Q41" si="18">SUM(F42:F46)</f>
        <v>1.1000000000000001</v>
      </c>
      <c r="G41" s="35">
        <f t="shared" si="18"/>
        <v>1.1000000000000001</v>
      </c>
      <c r="H41" s="35">
        <f t="shared" si="18"/>
        <v>1.1000000000000001</v>
      </c>
      <c r="I41" s="35">
        <f t="shared" si="18"/>
        <v>1.1000000000000001</v>
      </c>
      <c r="J41" s="35">
        <f t="shared" si="18"/>
        <v>1.1000000000000001</v>
      </c>
      <c r="K41" s="35">
        <f t="shared" si="18"/>
        <v>1.1000000000000001</v>
      </c>
      <c r="L41" s="35">
        <f t="shared" si="18"/>
        <v>1.1000000000000001</v>
      </c>
      <c r="M41" s="35">
        <f t="shared" si="18"/>
        <v>1.1000000000000001</v>
      </c>
      <c r="N41" s="35">
        <f t="shared" si="18"/>
        <v>1.1000000000000001</v>
      </c>
      <c r="O41" s="35">
        <f t="shared" si="18"/>
        <v>1.1000000000000001</v>
      </c>
      <c r="P41" s="35">
        <f t="shared" si="18"/>
        <v>1.1000000000000001</v>
      </c>
      <c r="Q41" s="35">
        <f t="shared" si="18"/>
        <v>1.1499999999999999</v>
      </c>
      <c r="R41" s="12"/>
      <c r="S41" s="59"/>
      <c r="T41" s="61"/>
      <c r="AG41" s="61"/>
      <c r="AH41" s="61"/>
      <c r="AI41" s="61"/>
      <c r="AJ41" s="61"/>
      <c r="AK41" s="61"/>
      <c r="AL41" s="61"/>
      <c r="AM41" s="61"/>
      <c r="AN41" s="61"/>
      <c r="AO41" s="61"/>
      <c r="AP41" s="61"/>
      <c r="AQ41" s="61"/>
      <c r="AR41" s="61"/>
      <c r="AS41" s="61"/>
      <c r="AT41" s="61"/>
      <c r="AU41" s="61"/>
      <c r="AV41" s="61"/>
      <c r="AW41" s="61"/>
      <c r="AX41" s="61"/>
      <c r="AY41" s="61"/>
      <c r="AZ41" s="61"/>
      <c r="BA41" s="61"/>
      <c r="BB41" s="61"/>
      <c r="BC41" s="61"/>
      <c r="BD41" s="61"/>
      <c r="BE41" s="61"/>
      <c r="BF41" s="61"/>
      <c r="BG41" s="61"/>
      <c r="BH41" s="61"/>
      <c r="BI41" s="61"/>
      <c r="BJ41" s="61"/>
      <c r="BK41" s="61"/>
      <c r="BL41" s="61"/>
      <c r="BM41" s="61"/>
      <c r="BN41" s="61"/>
      <c r="BO41" s="61"/>
      <c r="BP41" s="61"/>
      <c r="BQ41" s="61"/>
      <c r="BR41" s="61"/>
      <c r="BS41" s="61"/>
      <c r="BT41" s="61"/>
      <c r="BU41" s="61"/>
      <c r="BV41" s="61"/>
      <c r="BW41" s="61"/>
      <c r="BX41" s="61"/>
      <c r="BY41" s="61"/>
      <c r="BZ41" s="61"/>
      <c r="CA41" s="61"/>
      <c r="CB41" s="61"/>
      <c r="CC41" s="61"/>
      <c r="CD41" s="61"/>
      <c r="CE41" s="61"/>
      <c r="CF41" s="61"/>
      <c r="CG41" s="61"/>
      <c r="CH41" s="61"/>
      <c r="CI41" s="61"/>
      <c r="CJ41" s="61"/>
      <c r="CK41" s="61"/>
      <c r="CL41" s="61"/>
      <c r="CM41" s="61"/>
      <c r="CN41" s="61"/>
      <c r="CO41" s="61"/>
      <c r="CP41" s="61"/>
      <c r="CQ41" s="61"/>
      <c r="CR41" s="61"/>
      <c r="CS41" s="61"/>
      <c r="CT41" s="61"/>
      <c r="CU41" s="61"/>
      <c r="CV41" s="61"/>
      <c r="CW41" s="61"/>
      <c r="CX41" s="61"/>
      <c r="CY41" s="61"/>
      <c r="CZ41" s="61"/>
      <c r="DA41" s="61"/>
      <c r="DB41" s="61"/>
      <c r="DC41" s="61"/>
      <c r="DD41" s="61"/>
      <c r="DE41" s="61"/>
      <c r="DF41" s="61"/>
      <c r="DG41" s="61"/>
      <c r="DH41" s="61"/>
      <c r="DI41" s="61"/>
      <c r="DJ41" s="61"/>
      <c r="DK41" s="61"/>
      <c r="DL41" s="61"/>
      <c r="DM41" s="61"/>
      <c r="DN41" s="61"/>
      <c r="DO41" s="61"/>
      <c r="DP41" s="61"/>
      <c r="DQ41" s="61"/>
      <c r="DR41" s="61"/>
      <c r="DS41" s="61"/>
      <c r="DT41" s="61"/>
      <c r="DU41" s="61"/>
      <c r="DV41" s="61"/>
      <c r="DW41" s="61"/>
      <c r="DX41" s="61"/>
      <c r="DY41" s="61"/>
      <c r="DZ41" s="61"/>
      <c r="EA41" s="61"/>
      <c r="EB41" s="61"/>
      <c r="EC41" s="61"/>
      <c r="ED41" s="61"/>
      <c r="EE41" s="61"/>
      <c r="EF41" s="61"/>
      <c r="EG41" s="61"/>
      <c r="EH41" s="61"/>
      <c r="EI41" s="61"/>
      <c r="EJ41" s="61"/>
      <c r="EK41" s="61"/>
      <c r="EL41" s="61"/>
      <c r="EM41" s="61"/>
      <c r="EN41" s="61"/>
      <c r="EO41" s="61"/>
      <c r="EP41" s="61"/>
      <c r="EQ41" s="61"/>
      <c r="ER41" s="61"/>
      <c r="ES41" s="61"/>
      <c r="ET41" s="61"/>
      <c r="EU41" s="61"/>
      <c r="EV41" s="61"/>
      <c r="EW41" s="61"/>
      <c r="EX41" s="61"/>
      <c r="EY41" s="61"/>
      <c r="EZ41" s="61"/>
      <c r="FA41" s="61"/>
      <c r="FB41" s="61"/>
      <c r="FC41" s="61"/>
      <c r="FD41" s="61"/>
      <c r="FE41" s="61"/>
      <c r="FF41" s="61"/>
      <c r="FG41" s="61"/>
      <c r="FH41" s="61"/>
      <c r="FI41" s="61"/>
      <c r="FJ41" s="61"/>
      <c r="FK41" s="61"/>
      <c r="FL41" s="61"/>
      <c r="FM41" s="61"/>
      <c r="FN41" s="61"/>
      <c r="FO41" s="61"/>
      <c r="FP41" s="61"/>
      <c r="FQ41" s="61"/>
      <c r="FR41" s="61"/>
      <c r="FS41" s="61"/>
      <c r="FT41" s="61"/>
      <c r="FU41" s="61"/>
      <c r="FV41" s="61"/>
      <c r="FW41" s="61"/>
      <c r="FX41" s="61"/>
      <c r="FY41" s="61"/>
      <c r="FZ41" s="61"/>
      <c r="GA41" s="61"/>
      <c r="GB41" s="61"/>
      <c r="GC41" s="61"/>
    </row>
    <row r="42" spans="1:185" ht="15" customHeight="1" x14ac:dyDescent="0.3">
      <c r="B42" s="23"/>
      <c r="C42" s="74" t="s">
        <v>93</v>
      </c>
      <c r="D42" s="25" t="s">
        <v>20</v>
      </c>
      <c r="E42" s="88">
        <v>1.25</v>
      </c>
      <c r="F42" s="39">
        <v>0.1</v>
      </c>
      <c r="G42" s="39">
        <v>0.1</v>
      </c>
      <c r="H42" s="39">
        <v>0.1</v>
      </c>
      <c r="I42" s="39">
        <v>0.1</v>
      </c>
      <c r="J42" s="39">
        <v>0.1</v>
      </c>
      <c r="K42" s="39">
        <v>0.1</v>
      </c>
      <c r="L42" s="39">
        <v>0.1</v>
      </c>
      <c r="M42" s="39">
        <v>0.1</v>
      </c>
      <c r="N42" s="39">
        <v>0.1</v>
      </c>
      <c r="O42" s="39">
        <v>0.1</v>
      </c>
      <c r="P42" s="39">
        <v>0.1</v>
      </c>
      <c r="Q42" s="39">
        <v>0.15</v>
      </c>
      <c r="R42" s="74"/>
      <c r="U42" s="57"/>
      <c r="V42" s="57"/>
    </row>
    <row r="43" spans="1:185" ht="15" customHeight="1" x14ac:dyDescent="0.3">
      <c r="B43" s="23"/>
      <c r="C43" s="74" t="s">
        <v>94</v>
      </c>
      <c r="D43" s="25" t="s">
        <v>20</v>
      </c>
      <c r="E43" s="88">
        <v>12</v>
      </c>
      <c r="F43" s="39">
        <v>1</v>
      </c>
      <c r="G43" s="39">
        <v>1</v>
      </c>
      <c r="H43" s="39">
        <v>1</v>
      </c>
      <c r="I43" s="39">
        <v>1</v>
      </c>
      <c r="J43" s="39">
        <v>1</v>
      </c>
      <c r="K43" s="39">
        <v>1</v>
      </c>
      <c r="L43" s="39">
        <v>1</v>
      </c>
      <c r="M43" s="39">
        <v>1</v>
      </c>
      <c r="N43" s="39">
        <v>1</v>
      </c>
      <c r="O43" s="39">
        <v>1</v>
      </c>
      <c r="P43" s="39">
        <v>1</v>
      </c>
      <c r="Q43" s="39">
        <v>1</v>
      </c>
      <c r="R43" s="74"/>
    </row>
    <row r="44" spans="1:185" ht="15" customHeight="1" x14ac:dyDescent="0.3">
      <c r="B44" s="23"/>
      <c r="C44" s="74" t="s">
        <v>105</v>
      </c>
      <c r="D44" s="25" t="s">
        <v>20</v>
      </c>
      <c r="E44" s="88">
        <f t="shared" ref="E44:E47" si="19">SUM(F44:Q44)</f>
        <v>0</v>
      </c>
      <c r="F44" s="39"/>
      <c r="G44" s="39"/>
      <c r="H44" s="39"/>
      <c r="I44" s="39"/>
      <c r="J44" s="39"/>
      <c r="K44" s="39"/>
      <c r="L44" s="39"/>
      <c r="M44" s="39"/>
      <c r="N44" s="89"/>
      <c r="O44" s="89"/>
      <c r="P44" s="89"/>
      <c r="Q44" s="89"/>
      <c r="R44" s="74"/>
    </row>
    <row r="45" spans="1:185" ht="15" customHeight="1" x14ac:dyDescent="0.3">
      <c r="B45" s="23"/>
      <c r="C45" s="74" t="s">
        <v>106</v>
      </c>
      <c r="D45" s="25" t="s">
        <v>20</v>
      </c>
      <c r="E45" s="88">
        <f t="shared" si="19"/>
        <v>0</v>
      </c>
      <c r="F45" s="39"/>
      <c r="G45" s="39"/>
      <c r="H45" s="39"/>
      <c r="I45" s="39"/>
      <c r="J45" s="39"/>
      <c r="K45" s="39"/>
      <c r="L45" s="39"/>
      <c r="M45" s="39"/>
      <c r="N45" s="89"/>
      <c r="O45" s="89"/>
      <c r="P45" s="89"/>
      <c r="Q45" s="89"/>
      <c r="R45" s="74"/>
    </row>
    <row r="46" spans="1:185" ht="15" customHeight="1" x14ac:dyDescent="0.3">
      <c r="B46" s="23"/>
      <c r="C46" s="74" t="s">
        <v>107</v>
      </c>
      <c r="D46" s="25" t="s">
        <v>20</v>
      </c>
      <c r="E46" s="88">
        <f t="shared" si="19"/>
        <v>0</v>
      </c>
      <c r="F46" s="39"/>
      <c r="G46" s="39"/>
      <c r="H46" s="39"/>
      <c r="I46" s="39"/>
      <c r="J46" s="39"/>
      <c r="K46" s="39"/>
      <c r="L46" s="39"/>
      <c r="M46" s="39"/>
      <c r="N46" s="89"/>
      <c r="O46" s="89"/>
      <c r="P46" s="89"/>
      <c r="Q46" s="89"/>
      <c r="R46" s="74"/>
    </row>
    <row r="47" spans="1:185" ht="26" x14ac:dyDescent="0.3">
      <c r="B47" s="11">
        <v>7</v>
      </c>
      <c r="C47" s="12" t="s">
        <v>28</v>
      </c>
      <c r="D47" s="13" t="s">
        <v>20</v>
      </c>
      <c r="E47" s="72">
        <f t="shared" si="19"/>
        <v>14.289811749552801</v>
      </c>
      <c r="F47" s="35">
        <f t="shared" ref="F47:Q47" si="20">F40+F41</f>
        <v>-68.519249612672994</v>
      </c>
      <c r="G47" s="35">
        <f t="shared" si="20"/>
        <v>-65.586698254339495</v>
      </c>
      <c r="H47" s="35">
        <f t="shared" si="20"/>
        <v>40.963958783750499</v>
      </c>
      <c r="I47" s="35">
        <f t="shared" si="20"/>
        <v>57.893738481443997</v>
      </c>
      <c r="J47" s="35">
        <f t="shared" si="20"/>
        <v>26.4453218436649</v>
      </c>
      <c r="K47" s="35">
        <f t="shared" si="20"/>
        <v>28.372933302236302</v>
      </c>
      <c r="L47" s="35">
        <f t="shared" si="20"/>
        <v>-50.3105467861728</v>
      </c>
      <c r="M47" s="35">
        <f t="shared" si="20"/>
        <v>31.4189933221773</v>
      </c>
      <c r="N47" s="35">
        <f t="shared" si="20"/>
        <v>29.166958352177399</v>
      </c>
      <c r="O47" s="35">
        <f t="shared" si="20"/>
        <v>24.7000593599134</v>
      </c>
      <c r="P47" s="35">
        <f t="shared" si="20"/>
        <v>33.339580993687001</v>
      </c>
      <c r="Q47" s="35">
        <f t="shared" si="20"/>
        <v>-73.595238036312693</v>
      </c>
      <c r="R47" s="12"/>
    </row>
    <row r="48" spans="1:185" s="59" customFormat="1" x14ac:dyDescent="0.3">
      <c r="B48" s="90"/>
      <c r="C48" s="59" t="s">
        <v>108</v>
      </c>
      <c r="D48" s="91"/>
      <c r="E48" s="92"/>
      <c r="T48" s="61"/>
      <c r="U48" s="61"/>
      <c r="V48" s="61"/>
    </row>
    <row r="49" spans="4:22" hidden="1" x14ac:dyDescent="0.3">
      <c r="U49" s="59"/>
      <c r="V49" s="59"/>
    </row>
    <row r="50" spans="4:22" hidden="1" x14ac:dyDescent="0.3"/>
    <row r="51" spans="4:22" hidden="1" x14ac:dyDescent="0.3"/>
    <row r="52" spans="4:22" hidden="1" x14ac:dyDescent="0.3"/>
    <row r="53" spans="4:22" hidden="1" x14ac:dyDescent="0.3"/>
    <row r="54" spans="4:22" hidden="1" x14ac:dyDescent="0.3"/>
    <row r="55" spans="4:22" hidden="1" x14ac:dyDescent="0.3"/>
    <row r="56" spans="4:22" hidden="1" x14ac:dyDescent="0.3"/>
    <row r="57" spans="4:22" hidden="1" x14ac:dyDescent="0.3"/>
    <row r="58" spans="4:22" hidden="1" x14ac:dyDescent="0.3"/>
    <row r="59" spans="4:22" hidden="1" x14ac:dyDescent="0.3"/>
    <row r="61" spans="4:22" x14ac:dyDescent="0.3">
      <c r="D61" s="61"/>
      <c r="E61" s="61"/>
    </row>
    <row r="62" spans="4:22" x14ac:dyDescent="0.3">
      <c r="D62" s="61"/>
      <c r="E62" s="61"/>
    </row>
    <row r="63" spans="4:22" x14ac:dyDescent="0.3">
      <c r="D63" s="61"/>
      <c r="E63" s="61"/>
    </row>
    <row r="65" spans="5:5" x14ac:dyDescent="0.3">
      <c r="E65" s="93"/>
    </row>
  </sheetData>
  <mergeCells count="7">
    <mergeCell ref="R3:R4"/>
    <mergeCell ref="B2:Q2"/>
    <mergeCell ref="F3:Q3"/>
    <mergeCell ref="B3:B4"/>
    <mergeCell ref="C3:C4"/>
    <mergeCell ref="D3:D4"/>
    <mergeCell ref="E3:E4"/>
  </mergeCells>
  <phoneticPr fontId="24" type="noConversion"/>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T48"/>
  <sheetViews>
    <sheetView showGridLines="0" topLeftCell="B1" zoomScale="110" zoomScaleNormal="110" workbookViewId="0">
      <selection activeCell="L11" sqref="L11"/>
    </sheetView>
  </sheetViews>
  <sheetFormatPr defaultColWidth="9" defaultRowHeight="14" x14ac:dyDescent="0.3"/>
  <cols>
    <col min="1" max="1" width="4.6640625" customWidth="1"/>
    <col min="3" max="3" width="28.08203125" customWidth="1"/>
    <col min="5" max="5" width="11.5" style="8"/>
    <col min="6" max="6" width="10.9140625"/>
    <col min="7" max="7" width="9.33203125"/>
    <col min="8" max="9" width="10.4140625" customWidth="1"/>
    <col min="10" max="10" width="10.83203125"/>
    <col min="11" max="15" width="9.33203125"/>
    <col min="16" max="16" width="11.1640625" customWidth="1"/>
    <col min="17" max="17" width="9.33203125"/>
    <col min="18" max="18" width="9.5" customWidth="1"/>
    <col min="19" max="19" width="7.6640625" customWidth="1"/>
    <col min="20" max="20" width="9.6640625" style="8" customWidth="1"/>
  </cols>
  <sheetData>
    <row r="1" spans="2:18" x14ac:dyDescent="0.3">
      <c r="E1" s="8" t="s">
        <v>109</v>
      </c>
      <c r="F1" t="s">
        <v>110</v>
      </c>
      <c r="G1" t="s">
        <v>110</v>
      </c>
      <c r="H1" t="s">
        <v>48</v>
      </c>
      <c r="I1" t="s">
        <v>49</v>
      </c>
      <c r="J1" t="s">
        <v>111</v>
      </c>
      <c r="K1" t="s">
        <v>51</v>
      </c>
      <c r="L1" t="s">
        <v>52</v>
      </c>
      <c r="M1" t="s">
        <v>53</v>
      </c>
      <c r="N1" t="s">
        <v>112</v>
      </c>
      <c r="O1" t="s">
        <v>56</v>
      </c>
      <c r="P1" t="s">
        <v>113</v>
      </c>
      <c r="Q1" t="s">
        <v>114</v>
      </c>
    </row>
    <row r="2" spans="2:18" ht="21" x14ac:dyDescent="0.3">
      <c r="B2" s="149" t="s">
        <v>115</v>
      </c>
      <c r="C2" s="149"/>
      <c r="D2" s="149"/>
      <c r="E2" s="150"/>
      <c r="F2" s="149"/>
      <c r="G2" s="149"/>
      <c r="H2" s="149"/>
      <c r="I2" s="149"/>
      <c r="J2" s="149"/>
      <c r="K2" s="149"/>
      <c r="L2" s="149"/>
      <c r="M2" s="149"/>
      <c r="N2" s="149"/>
      <c r="O2" s="149"/>
      <c r="P2" s="149"/>
      <c r="Q2" s="149"/>
    </row>
    <row r="3" spans="2:18" x14ac:dyDescent="0.3">
      <c r="B3" s="155" t="s">
        <v>1</v>
      </c>
      <c r="C3" s="155" t="s">
        <v>65</v>
      </c>
      <c r="D3" s="155" t="s">
        <v>8</v>
      </c>
      <c r="E3" s="147" t="s">
        <v>116</v>
      </c>
      <c r="F3" s="157" t="s">
        <v>117</v>
      </c>
      <c r="G3" s="158"/>
      <c r="H3" s="158"/>
      <c r="I3" s="158"/>
      <c r="J3" s="158"/>
      <c r="K3" s="158"/>
      <c r="L3" s="158"/>
      <c r="M3" s="158"/>
      <c r="N3" s="158"/>
      <c r="O3" s="158"/>
      <c r="P3" s="158"/>
      <c r="Q3" s="159"/>
    </row>
    <row r="4" spans="2:18" x14ac:dyDescent="0.3">
      <c r="B4" s="156"/>
      <c r="C4" s="156"/>
      <c r="D4" s="156"/>
      <c r="E4" s="148"/>
      <c r="F4" s="31" t="s">
        <v>48</v>
      </c>
      <c r="G4" s="31" t="s">
        <v>68</v>
      </c>
      <c r="H4" s="31" t="s">
        <v>69</v>
      </c>
      <c r="I4" s="31" t="s">
        <v>70</v>
      </c>
      <c r="J4" s="31" t="s">
        <v>71</v>
      </c>
      <c r="K4" s="31" t="s">
        <v>72</v>
      </c>
      <c r="L4" s="31" t="s">
        <v>73</v>
      </c>
      <c r="M4" s="31" t="s">
        <v>74</v>
      </c>
      <c r="N4" s="31" t="s">
        <v>75</v>
      </c>
      <c r="O4" s="31" t="s">
        <v>76</v>
      </c>
      <c r="P4" s="31" t="s">
        <v>77</v>
      </c>
      <c r="Q4" s="31" t="s">
        <v>78</v>
      </c>
    </row>
    <row r="5" spans="2:18" x14ac:dyDescent="0.3">
      <c r="B5" s="32">
        <v>1</v>
      </c>
      <c r="C5" s="33" t="s">
        <v>118</v>
      </c>
      <c r="D5" s="34" t="s">
        <v>20</v>
      </c>
      <c r="E5" s="35">
        <f t="shared" ref="E5:Q5" si="0">+E6+E10+E11</f>
        <v>3003.0213020011402</v>
      </c>
      <c r="F5" s="35">
        <f t="shared" si="0"/>
        <v>0</v>
      </c>
      <c r="G5" s="35">
        <f t="shared" si="0"/>
        <v>0</v>
      </c>
      <c r="H5" s="35">
        <f t="shared" si="0"/>
        <v>19.846486563750702</v>
      </c>
      <c r="I5" s="35">
        <f t="shared" si="0"/>
        <v>101.235849056604</v>
      </c>
      <c r="J5" s="35">
        <f t="shared" si="0"/>
        <v>235.93449828473399</v>
      </c>
      <c r="K5" s="35">
        <f t="shared" si="0"/>
        <v>352.78301886792502</v>
      </c>
      <c r="L5" s="35">
        <f t="shared" si="0"/>
        <v>439.70666666666699</v>
      </c>
      <c r="M5" s="35">
        <f t="shared" si="0"/>
        <v>501.506666666667</v>
      </c>
      <c r="N5" s="35">
        <f t="shared" si="0"/>
        <v>365.506666666667</v>
      </c>
      <c r="O5" s="35">
        <f t="shared" si="0"/>
        <v>182.333333333333</v>
      </c>
      <c r="P5" s="35">
        <f t="shared" si="0"/>
        <v>409.031982561463</v>
      </c>
      <c r="Q5" s="35">
        <f t="shared" si="0"/>
        <v>395.13613333333302</v>
      </c>
      <c r="R5" s="8"/>
    </row>
    <row r="6" spans="2:18" x14ac:dyDescent="0.3">
      <c r="B6" s="36">
        <v>1.1000000000000001</v>
      </c>
      <c r="C6" s="37" t="s">
        <v>119</v>
      </c>
      <c r="D6" s="29" t="s">
        <v>20</v>
      </c>
      <c r="E6" s="38">
        <f>SUM(E7:E9)</f>
        <v>3001.4013020011398</v>
      </c>
      <c r="F6" s="39">
        <f>F7+F8+F9</f>
        <v>0</v>
      </c>
      <c r="G6" s="39">
        <f t="shared" ref="G6:Q6" si="1">G7+G8+G9</f>
        <v>0</v>
      </c>
      <c r="H6" s="39">
        <f t="shared" si="1"/>
        <v>18.226486563750701</v>
      </c>
      <c r="I6" s="39">
        <f t="shared" si="1"/>
        <v>101.235849056604</v>
      </c>
      <c r="J6" s="39">
        <f t="shared" si="1"/>
        <v>235.93449828473399</v>
      </c>
      <c r="K6" s="39">
        <f t="shared" si="1"/>
        <v>352.78301886792502</v>
      </c>
      <c r="L6" s="39">
        <f t="shared" si="1"/>
        <v>439.70666666666699</v>
      </c>
      <c r="M6" s="39">
        <f t="shared" si="1"/>
        <v>501.506666666667</v>
      </c>
      <c r="N6" s="39">
        <f t="shared" si="1"/>
        <v>365.506666666667</v>
      </c>
      <c r="O6" s="39">
        <f t="shared" si="1"/>
        <v>182.333333333333</v>
      </c>
      <c r="P6" s="39">
        <f t="shared" si="1"/>
        <v>409.031982561463</v>
      </c>
      <c r="Q6" s="39">
        <f t="shared" si="1"/>
        <v>395.13613333333302</v>
      </c>
      <c r="R6" s="8"/>
    </row>
    <row r="7" spans="2:18" x14ac:dyDescent="0.3">
      <c r="B7" s="36"/>
      <c r="C7" s="37" t="s">
        <v>120</v>
      </c>
      <c r="D7" s="29" t="s">
        <v>20</v>
      </c>
      <c r="E7" s="38">
        <f>SUM(F7:Q7)</f>
        <v>1687.8630548313299</v>
      </c>
      <c r="F7" s="39"/>
      <c r="G7" s="39"/>
      <c r="H7" s="39">
        <f>'附件2 经营性净现金流利润编制明细2026415'!F7*1.01</f>
        <v>14.115786563750699</v>
      </c>
      <c r="I7" s="39"/>
      <c r="J7" s="39">
        <f>'附件2 经营性净现金流利润编制明细2026415'!H7*1.01/2</f>
        <v>134.69864922812999</v>
      </c>
      <c r="K7" s="39">
        <f>'附件2 经营性净现金流利润编制明细2026415'!I7*1.01</f>
        <v>251.547169811321</v>
      </c>
      <c r="L7" s="39">
        <f>'附件2 经营性净现金流利润编制明细2026415'!J7*1.06</f>
        <v>264</v>
      </c>
      <c r="M7" s="39">
        <f>'附件2 经营性净现金流利润编制明细2026415'!K7*1.06</f>
        <v>264</v>
      </c>
      <c r="N7" s="39">
        <f>('附件2 经营性净现金流利润编制明细2026415'!L7+'附件2 经营性净现金流利润编制明细2026415'!M7)*1.06</f>
        <v>128</v>
      </c>
      <c r="O7" s="39">
        <f>('附件2 经营性净现金流利润编制明细2026415'!N7)*1.06</f>
        <v>64</v>
      </c>
      <c r="P7" s="39">
        <f>('附件2 经营性净现金流利润编制明细2026415'!O7)*1.06+'附件2 经营性净现金流利润编制明细2026415'!H7/2*1.01</f>
        <v>290.69864922813002</v>
      </c>
      <c r="Q7" s="39">
        <f>('附件2 经营性净现金流利润编制明细2026415'!P7+'附件2 经营性净现金流利润编制明细2026415'!Q7/2+40.38)*1.06</f>
        <v>276.80279999999999</v>
      </c>
      <c r="R7" s="8"/>
    </row>
    <row r="8" spans="2:18" x14ac:dyDescent="0.3">
      <c r="B8" s="36"/>
      <c r="C8" s="40" t="s">
        <v>121</v>
      </c>
      <c r="D8" s="29" t="s">
        <v>20</v>
      </c>
      <c r="E8" s="38">
        <f>SUM(F8:Q8)</f>
        <v>1313.5382471698099</v>
      </c>
      <c r="F8" s="39"/>
      <c r="G8" s="39"/>
      <c r="H8" s="39">
        <f>SUM('附件2 经营性净现金流利润编制明细2026415'!F8:F13)*1.01</f>
        <v>4.1106999999999996</v>
      </c>
      <c r="I8" s="39">
        <f>SUM('附件2 经营性净现金流利润编制明细2026415'!I9:I13)*1.01</f>
        <v>101.235849056604</v>
      </c>
      <c r="J8" s="39">
        <f>SUM('附件2 经营性净现金流利润编制明细2026415'!J9:J13)*1.01</f>
        <v>101.235849056604</v>
      </c>
      <c r="K8" s="39">
        <f>SUM('附件2 经营性净现金流利润编制明细2026415'!K9:K13)*1.01</f>
        <v>101.235849056604</v>
      </c>
      <c r="L8" s="39">
        <f>SUM('附件2 经营性净现金流利润编制明细2026415'!L8:L13)*1.06</f>
        <v>175.70666666666699</v>
      </c>
      <c r="M8" s="41">
        <f>SUM('附件2 经营性净现金流利润编制明细2026415'!M8:M13)*1.06+30</f>
        <v>237.506666666667</v>
      </c>
      <c r="N8" s="41">
        <f>SUM('附件2 经营性净现金流利润编制明细2026415'!N8:N13)*1.06+30</f>
        <v>237.506666666667</v>
      </c>
      <c r="O8" s="39">
        <f>SUM('附件2 经营性净现金流利润编制明细2026415'!O8:O13)*1.06</f>
        <v>118.333333333333</v>
      </c>
      <c r="P8" s="39">
        <f>SUM('附件2 经营性净现金流利润编制明细2026415'!P8:P13)*1.06</f>
        <v>118.333333333333</v>
      </c>
      <c r="Q8" s="39">
        <f>SUM('附件2 经营性净现金流利润编制明细2026415'!Q8:Q13)*1.06</f>
        <v>118.333333333333</v>
      </c>
      <c r="R8" s="8"/>
    </row>
    <row r="9" spans="2:18" x14ac:dyDescent="0.3">
      <c r="B9" s="36"/>
      <c r="C9" s="40" t="s">
        <v>122</v>
      </c>
      <c r="D9" s="29" t="s">
        <v>20</v>
      </c>
      <c r="E9" s="38"/>
      <c r="F9" s="39"/>
      <c r="G9" s="39"/>
      <c r="H9" s="39"/>
      <c r="I9" s="39"/>
      <c r="J9" s="39"/>
      <c r="K9" s="39"/>
      <c r="L9" s="39"/>
      <c r="M9" s="39"/>
      <c r="N9" s="39"/>
      <c r="O9" s="39"/>
      <c r="P9" s="39"/>
      <c r="Q9" s="39"/>
      <c r="R9" s="8"/>
    </row>
    <row r="10" spans="2:18" x14ac:dyDescent="0.3">
      <c r="B10" s="36">
        <v>1.2</v>
      </c>
      <c r="C10" s="37" t="s">
        <v>123</v>
      </c>
      <c r="D10" s="29" t="s">
        <v>20</v>
      </c>
      <c r="E10" s="38">
        <f>1.8*6*0.15</f>
        <v>1.62</v>
      </c>
      <c r="F10" s="39"/>
      <c r="G10" s="39"/>
      <c r="H10" s="39">
        <v>1.62</v>
      </c>
      <c r="I10" s="39"/>
      <c r="J10" s="39"/>
      <c r="K10" s="39"/>
      <c r="L10" s="39"/>
      <c r="M10" s="39"/>
      <c r="N10" s="39"/>
      <c r="O10" s="39"/>
      <c r="P10" s="39"/>
      <c r="Q10" s="39"/>
      <c r="R10" s="8"/>
    </row>
    <row r="11" spans="2:18" x14ac:dyDescent="0.3">
      <c r="B11" s="42">
        <v>1.3</v>
      </c>
      <c r="C11" s="43" t="s">
        <v>124</v>
      </c>
      <c r="D11" s="29" t="s">
        <v>20</v>
      </c>
      <c r="E11" s="38"/>
      <c r="F11" s="39"/>
      <c r="G11" s="39"/>
      <c r="H11" s="39"/>
      <c r="I11" s="39"/>
      <c r="J11" s="39"/>
      <c r="K11" s="39"/>
      <c r="L11" s="39"/>
      <c r="M11" s="39"/>
      <c r="N11" s="39"/>
      <c r="O11" s="39"/>
      <c r="P11" s="39"/>
      <c r="Q11" s="39"/>
      <c r="R11" s="8"/>
    </row>
    <row r="12" spans="2:18" x14ac:dyDescent="0.3">
      <c r="B12" s="36"/>
      <c r="C12" s="37" t="s">
        <v>122</v>
      </c>
      <c r="D12" s="29" t="s">
        <v>20</v>
      </c>
      <c r="E12" s="38"/>
      <c r="F12" s="39"/>
      <c r="G12" s="39"/>
      <c r="H12" s="39"/>
      <c r="I12" s="39"/>
      <c r="J12" s="39"/>
      <c r="K12" s="39"/>
      <c r="L12" s="39"/>
      <c r="M12" s="39"/>
      <c r="N12" s="39"/>
      <c r="O12" s="39"/>
      <c r="P12" s="39"/>
      <c r="Q12" s="39"/>
      <c r="R12" s="8"/>
    </row>
    <row r="13" spans="2:18" x14ac:dyDescent="0.3">
      <c r="B13" s="32">
        <v>2</v>
      </c>
      <c r="C13" s="33" t="s">
        <v>125</v>
      </c>
      <c r="D13" s="34" t="s">
        <v>20</v>
      </c>
      <c r="E13" s="35">
        <f t="shared" ref="E13:Q13" si="2">+E14+E18+E19+E20</f>
        <v>2988.8499083575298</v>
      </c>
      <c r="F13" s="35">
        <f t="shared" si="2"/>
        <v>78.58</v>
      </c>
      <c r="G13" s="35">
        <f t="shared" si="2"/>
        <v>86.1</v>
      </c>
      <c r="H13" s="35">
        <f t="shared" si="2"/>
        <v>103.2</v>
      </c>
      <c r="I13" s="35">
        <f t="shared" si="2"/>
        <v>220.97813758356901</v>
      </c>
      <c r="J13" s="35">
        <f t="shared" si="2"/>
        <v>300.611817149545</v>
      </c>
      <c r="K13" s="35">
        <f t="shared" si="2"/>
        <v>361.866988676132</v>
      </c>
      <c r="L13" s="35">
        <f t="shared" si="2"/>
        <v>394.03023710380501</v>
      </c>
      <c r="M13" s="35">
        <f t="shared" si="2"/>
        <v>357.77734591195002</v>
      </c>
      <c r="N13" s="35">
        <f t="shared" si="2"/>
        <v>271.16734591195001</v>
      </c>
      <c r="O13" s="35">
        <f t="shared" si="2"/>
        <v>198.534012578616</v>
      </c>
      <c r="P13" s="35">
        <f t="shared" si="2"/>
        <v>318.12763350486</v>
      </c>
      <c r="Q13" s="35">
        <f t="shared" si="2"/>
        <v>297.87638993710698</v>
      </c>
      <c r="R13" s="8"/>
    </row>
    <row r="14" spans="2:18" x14ac:dyDescent="0.3">
      <c r="B14" s="36">
        <v>2.1</v>
      </c>
      <c r="C14" s="37" t="s">
        <v>126</v>
      </c>
      <c r="D14" s="29" t="s">
        <v>20</v>
      </c>
      <c r="E14" s="38">
        <f>SUM(F14:Q14)</f>
        <v>1849.7464391844901</v>
      </c>
      <c r="F14" s="39">
        <f>F15+F16</f>
        <v>4.5</v>
      </c>
      <c r="G14" s="39">
        <f t="shared" ref="G14:Q14" si="3">G15+G16</f>
        <v>4.5</v>
      </c>
      <c r="H14" s="39">
        <f t="shared" si="3"/>
        <v>30</v>
      </c>
      <c r="I14" s="39">
        <f t="shared" si="3"/>
        <v>131.96353066533001</v>
      </c>
      <c r="J14" s="39">
        <f t="shared" si="3"/>
        <v>205.88824671240701</v>
      </c>
      <c r="K14" s="39">
        <f t="shared" si="3"/>
        <v>271.32341823899401</v>
      </c>
      <c r="L14" s="39">
        <f t="shared" si="3"/>
        <v>259.18666666666701</v>
      </c>
      <c r="M14" s="39">
        <f t="shared" si="3"/>
        <v>259.18666666666701</v>
      </c>
      <c r="N14" s="39">
        <f t="shared" si="3"/>
        <v>183.02666666666701</v>
      </c>
      <c r="O14" s="39">
        <f t="shared" si="3"/>
        <v>92.673333333333304</v>
      </c>
      <c r="P14" s="39">
        <f t="shared" si="3"/>
        <v>219.62457690108599</v>
      </c>
      <c r="Q14" s="39">
        <f t="shared" si="3"/>
        <v>187.87333333333299</v>
      </c>
      <c r="R14" s="8"/>
    </row>
    <row r="15" spans="2:18" x14ac:dyDescent="0.3">
      <c r="B15" s="36"/>
      <c r="C15" s="37" t="s">
        <v>127</v>
      </c>
      <c r="D15" s="29" t="s">
        <v>20</v>
      </c>
      <c r="E15" s="38">
        <f t="shared" ref="E15:E20" si="4">SUM(F15:Q15)</f>
        <v>1014.13542975052</v>
      </c>
      <c r="F15" s="39">
        <f>(3+1.5)*'附件2 经营性净现金流利润编制明细2026415'!U3</f>
        <v>4.5</v>
      </c>
      <c r="G15" s="39">
        <f>(3+1.5)*'附件2 经营性净现金流利润编制明细2026415'!V3</f>
        <v>4.5</v>
      </c>
      <c r="H15" s="39">
        <f>(0.5+1.5)*'附件2 经营性净现金流利润编制明细2026415'!W3</f>
        <v>30</v>
      </c>
      <c r="I15" s="39">
        <f>I7*0.56+('附件2 经营性净现金流利润编制明细2026415'!H16-39)*0.56</f>
        <v>61.806527520676497</v>
      </c>
      <c r="J15" s="39">
        <f>J7*0.56</f>
        <v>75.431243567753</v>
      </c>
      <c r="K15" s="39">
        <f t="shared" ref="K15:P15" si="5">K7*0.56</f>
        <v>140.86641509434</v>
      </c>
      <c r="L15" s="39">
        <f t="shared" si="5"/>
        <v>147.84</v>
      </c>
      <c r="M15" s="39">
        <f t="shared" si="5"/>
        <v>147.84</v>
      </c>
      <c r="N15" s="39">
        <f t="shared" si="5"/>
        <v>71.680000000000007</v>
      </c>
      <c r="O15" s="39">
        <f t="shared" si="5"/>
        <v>35.840000000000003</v>
      </c>
      <c r="P15" s="39">
        <f t="shared" si="5"/>
        <v>162.79124356775301</v>
      </c>
      <c r="Q15" s="39">
        <v>131.04</v>
      </c>
      <c r="R15" s="8"/>
    </row>
    <row r="16" spans="2:18" x14ac:dyDescent="0.3">
      <c r="B16" s="36"/>
      <c r="C16" s="40" t="s">
        <v>128</v>
      </c>
      <c r="D16" s="29" t="s">
        <v>20</v>
      </c>
      <c r="E16" s="38">
        <f t="shared" si="4"/>
        <v>835.61100943396298</v>
      </c>
      <c r="F16" s="39"/>
      <c r="G16" s="39"/>
      <c r="H16" s="39"/>
      <c r="I16" s="39">
        <f>SUM('附件2 经营性净现金流利润编制明细2026415'!I18:I22)*1.01</f>
        <v>70.157003144653899</v>
      </c>
      <c r="J16" s="41">
        <f>SUM('附件2 经营性净现金流利润编制明细2026415'!J18:J22)*1.01+30</f>
        <v>130.45700314465401</v>
      </c>
      <c r="K16" s="41">
        <f>SUM('附件2 经营性净现金流利润编制明细2026415'!K18:K22)*1.01+30</f>
        <v>130.45700314465401</v>
      </c>
      <c r="L16" s="39">
        <f>SUM('附件2 经营性净现金流利润编制明细2026415'!L17:L22)*1.06</f>
        <v>111.34666666666701</v>
      </c>
      <c r="M16" s="39">
        <f>SUM('附件2 经营性净现金流利润编制明细2026415'!M17:M22)*1.06</f>
        <v>111.34666666666701</v>
      </c>
      <c r="N16" s="39">
        <f>SUM('附件2 经营性净现金流利润编制明细2026415'!N17:N22)*1.06</f>
        <v>111.34666666666701</v>
      </c>
      <c r="O16" s="39">
        <f>SUM('附件2 经营性净现金流利润编制明细2026415'!O17:O22)*1.06</f>
        <v>56.8333333333333</v>
      </c>
      <c r="P16" s="39">
        <f>SUM('附件2 经营性净现金流利润编制明细2026415'!P17:P22)*1.06</f>
        <v>56.8333333333333</v>
      </c>
      <c r="Q16" s="39">
        <f>SUM('附件2 经营性净现金流利润编制明细2026415'!Q17:Q22)*1.06</f>
        <v>56.8333333333333</v>
      </c>
      <c r="R16" s="8"/>
    </row>
    <row r="17" spans="2:20" x14ac:dyDescent="0.3">
      <c r="B17" s="36"/>
      <c r="C17" s="40" t="s">
        <v>122</v>
      </c>
      <c r="D17" s="29" t="s">
        <v>20</v>
      </c>
      <c r="E17" s="38"/>
      <c r="F17" s="39"/>
      <c r="G17" s="39"/>
      <c r="H17" s="44"/>
      <c r="I17" s="44"/>
      <c r="J17" s="44"/>
      <c r="K17" s="45"/>
      <c r="L17" s="45"/>
      <c r="M17" s="45"/>
      <c r="N17" s="45"/>
      <c r="O17" s="45"/>
      <c r="P17" s="46"/>
      <c r="Q17" s="44"/>
      <c r="R17" s="8"/>
    </row>
    <row r="18" spans="2:20" x14ac:dyDescent="0.3">
      <c r="B18" s="36">
        <v>2.2000000000000002</v>
      </c>
      <c r="C18" s="37" t="s">
        <v>129</v>
      </c>
      <c r="D18" s="29" t="s">
        <v>20</v>
      </c>
      <c r="E18" s="38">
        <f t="shared" si="4"/>
        <v>783</v>
      </c>
      <c r="F18" s="39">
        <f>6+47.2</f>
        <v>53.2</v>
      </c>
      <c r="G18" s="39">
        <v>56</v>
      </c>
      <c r="H18" s="44">
        <v>56</v>
      </c>
      <c r="I18" s="44">
        <v>57</v>
      </c>
      <c r="J18" s="47">
        <v>56.5</v>
      </c>
      <c r="K18" s="47">
        <v>68</v>
      </c>
      <c r="L18" s="47">
        <f>((50+40)+6)+9</f>
        <v>105</v>
      </c>
      <c r="M18" s="47">
        <v>65</v>
      </c>
      <c r="N18" s="47">
        <v>68</v>
      </c>
      <c r="O18" s="47">
        <v>65</v>
      </c>
      <c r="P18" s="47">
        <v>65</v>
      </c>
      <c r="Q18" s="44">
        <f>(0.3+59)+9</f>
        <v>68.3</v>
      </c>
      <c r="R18" s="8"/>
    </row>
    <row r="19" spans="2:20" x14ac:dyDescent="0.3">
      <c r="B19" s="36">
        <v>2.2999999999999998</v>
      </c>
      <c r="C19" s="37" t="s">
        <v>130</v>
      </c>
      <c r="D19" s="29" t="s">
        <v>20</v>
      </c>
      <c r="E19" s="38">
        <f t="shared" si="4"/>
        <v>66.013469173049401</v>
      </c>
      <c r="F19" s="39">
        <f>'附件2 经营性净现金流利润编制明细2026415'!U22</f>
        <v>0.88</v>
      </c>
      <c r="G19" s="39">
        <f>'附件2 经营性净现金流利润编制明细2026415'!V22</f>
        <v>0</v>
      </c>
      <c r="H19" s="44">
        <f>'附件2 经营性净现金流利润编制明细2026415'!W22</f>
        <v>0</v>
      </c>
      <c r="I19" s="44">
        <f>'附件2 经营性净现金流利润编制明细2026415'!X22</f>
        <v>3.3746069182389902</v>
      </c>
      <c r="J19" s="44">
        <f>'附件2 经营性净现金流利润编制明细2026415'!Y22</f>
        <v>9.42357043713805</v>
      </c>
      <c r="K19" s="44">
        <f>'附件2 经营性净现金流利润编制明细2026415'!Z22</f>
        <v>7.4435704371380398</v>
      </c>
      <c r="L19" s="44">
        <f>'附件2 经营性净现金流利润编制明细2026415'!AA22</f>
        <v>7.4435704371380398</v>
      </c>
      <c r="M19" s="44">
        <f>'附件2 经营性净现金流利润编制明细2026415'!AB22</f>
        <v>5.7606792452830398</v>
      </c>
      <c r="N19" s="44">
        <f>'附件2 经营性净现金流利润编制明细2026415'!AC22</f>
        <v>7.7406792452830198</v>
      </c>
      <c r="O19" s="44">
        <f>'附件2 经营性净现金流利润编制明细2026415'!AD22</f>
        <v>7.7406792452830198</v>
      </c>
      <c r="P19" s="44">
        <f>'附件2 经营性净现金流利润编制明细2026415'!AE22</f>
        <v>8.1030566037736005</v>
      </c>
      <c r="Q19" s="44">
        <f>'附件2 经营性净现金流利润编制明细2026415'!AF22</f>
        <v>8.1030566037736005</v>
      </c>
      <c r="R19" s="8"/>
    </row>
    <row r="20" spans="2:20" x14ac:dyDescent="0.3">
      <c r="B20" s="36">
        <v>2.4</v>
      </c>
      <c r="C20" s="43" t="s">
        <v>131</v>
      </c>
      <c r="D20" s="29" t="s">
        <v>20</v>
      </c>
      <c r="E20" s="38">
        <f t="shared" si="4"/>
        <v>290.08999999999997</v>
      </c>
      <c r="F20" s="39">
        <f>10+10</f>
        <v>20</v>
      </c>
      <c r="G20" s="39">
        <f>7.2+13.4+5</f>
        <v>25.6</v>
      </c>
      <c r="H20" s="44">
        <f>7.2+10</f>
        <v>17.2</v>
      </c>
      <c r="I20" s="44">
        <f>13.9+10+84+6.74-50-36</f>
        <v>28.64</v>
      </c>
      <c r="J20" s="44">
        <f>15.4+13.4</f>
        <v>28.8</v>
      </c>
      <c r="K20" s="44">
        <v>15.1</v>
      </c>
      <c r="L20" s="44">
        <f>10+12.4</f>
        <v>22.4</v>
      </c>
      <c r="M20" s="44">
        <f>12.4+2.03+13.4</f>
        <v>27.83</v>
      </c>
      <c r="N20" s="44">
        <v>12.4</v>
      </c>
      <c r="O20" s="48">
        <f>10+23.12</f>
        <v>33.119999999999997</v>
      </c>
      <c r="P20" s="48">
        <f>12+13.4</f>
        <v>25.4</v>
      </c>
      <c r="Q20" s="48">
        <f>10+23.6</f>
        <v>33.6</v>
      </c>
      <c r="R20" s="8"/>
    </row>
    <row r="21" spans="2:20" x14ac:dyDescent="0.3">
      <c r="B21" s="49"/>
      <c r="C21" s="37" t="s">
        <v>122</v>
      </c>
      <c r="D21" s="50" t="s">
        <v>20</v>
      </c>
      <c r="E21" s="38"/>
      <c r="F21" s="39"/>
      <c r="G21" s="39"/>
      <c r="H21" s="39"/>
      <c r="I21" s="39"/>
      <c r="J21" s="39"/>
      <c r="K21" s="39"/>
      <c r="L21" s="39"/>
      <c r="M21" s="39"/>
      <c r="N21" s="51"/>
      <c r="O21" s="51"/>
      <c r="P21" s="51"/>
      <c r="Q21" s="51"/>
      <c r="R21" s="8"/>
    </row>
    <row r="22" spans="2:20" x14ac:dyDescent="0.3">
      <c r="B22" s="32">
        <v>3</v>
      </c>
      <c r="C22" s="33" t="s">
        <v>132</v>
      </c>
      <c r="D22" s="34" t="s">
        <v>20</v>
      </c>
      <c r="E22" s="35">
        <f t="shared" ref="E22:Q22" si="6">+E5-E13</f>
        <v>14.1713936436072</v>
      </c>
      <c r="F22" s="35">
        <f t="shared" si="6"/>
        <v>-78.58</v>
      </c>
      <c r="G22" s="35">
        <f t="shared" si="6"/>
        <v>-86.1</v>
      </c>
      <c r="H22" s="35">
        <f t="shared" si="6"/>
        <v>-83.353513436249301</v>
      </c>
      <c r="I22" s="35">
        <f t="shared" si="6"/>
        <v>-119.742288526965</v>
      </c>
      <c r="J22" s="35">
        <f t="shared" si="6"/>
        <v>-64.677318864810999</v>
      </c>
      <c r="K22" s="35">
        <f t="shared" si="6"/>
        <v>-9.0839698082069695</v>
      </c>
      <c r="L22" s="35">
        <f t="shared" si="6"/>
        <v>45.676429562861998</v>
      </c>
      <c r="M22" s="35">
        <f t="shared" si="6"/>
        <v>143.72932075471701</v>
      </c>
      <c r="N22" s="35">
        <f t="shared" si="6"/>
        <v>94.339320754716695</v>
      </c>
      <c r="O22" s="35">
        <f t="shared" si="6"/>
        <v>-16.200679245283101</v>
      </c>
      <c r="P22" s="35">
        <f t="shared" si="6"/>
        <v>90.904349056603394</v>
      </c>
      <c r="Q22" s="35">
        <f t="shared" si="6"/>
        <v>97.259743396226298</v>
      </c>
      <c r="R22" s="8"/>
    </row>
    <row r="23" spans="2:20" x14ac:dyDescent="0.3">
      <c r="F23" s="8">
        <v>80</v>
      </c>
      <c r="G23" s="8">
        <v>40</v>
      </c>
      <c r="H23" s="8">
        <v>150</v>
      </c>
      <c r="I23" s="8">
        <v>200</v>
      </c>
      <c r="J23" s="8">
        <v>50</v>
      </c>
      <c r="K23" s="8"/>
      <c r="L23" s="8"/>
      <c r="M23" s="8"/>
      <c r="N23" s="8"/>
      <c r="O23" s="8"/>
      <c r="P23" s="8"/>
      <c r="Q23" s="8"/>
    </row>
    <row r="24" spans="2:20" x14ac:dyDescent="0.3">
      <c r="F24" s="8"/>
      <c r="G24" s="8"/>
      <c r="H24" s="8"/>
      <c r="I24" s="8"/>
      <c r="J24" s="8"/>
      <c r="K24" s="8"/>
      <c r="L24" s="8"/>
      <c r="M24" s="8"/>
      <c r="N24" s="8"/>
      <c r="O24" s="8"/>
      <c r="P24" s="8"/>
      <c r="Q24" s="8"/>
      <c r="R24" s="8"/>
      <c r="S24" s="8"/>
    </row>
    <row r="25" spans="2:20" x14ac:dyDescent="0.3">
      <c r="F25" s="8"/>
      <c r="G25" s="8"/>
      <c r="H25" s="8"/>
      <c r="I25" s="8"/>
      <c r="J25" s="8"/>
      <c r="K25" s="8"/>
      <c r="L25" s="8"/>
      <c r="M25" s="8"/>
      <c r="N25" s="8"/>
      <c r="O25" s="8"/>
      <c r="P25" s="8"/>
      <c r="Q25" s="8"/>
      <c r="R25" s="8"/>
    </row>
    <row r="26" spans="2:20" hidden="1" x14ac:dyDescent="0.3">
      <c r="F26" s="8"/>
      <c r="G26" s="8"/>
      <c r="H26" s="8"/>
      <c r="I26" s="8"/>
      <c r="J26" s="8"/>
      <c r="K26" s="8"/>
      <c r="L26" s="8"/>
      <c r="M26" s="8"/>
      <c r="N26" s="8"/>
      <c r="O26" s="8"/>
      <c r="P26" s="8"/>
      <c r="Q26" s="8"/>
      <c r="R26" s="8"/>
    </row>
    <row r="27" spans="2:20" hidden="1" x14ac:dyDescent="0.3">
      <c r="F27" s="8"/>
      <c r="G27" s="8"/>
      <c r="H27" s="8"/>
      <c r="I27" s="8"/>
      <c r="J27" s="8"/>
      <c r="K27" s="8"/>
      <c r="L27" s="8"/>
      <c r="M27" s="8"/>
      <c r="N27" s="8"/>
      <c r="O27" s="8"/>
      <c r="P27" s="8"/>
      <c r="Q27" s="8"/>
      <c r="R27" s="8"/>
    </row>
    <row r="28" spans="2:20" hidden="1" x14ac:dyDescent="0.3">
      <c r="B28" s="155" t="s">
        <v>1</v>
      </c>
      <c r="C28" s="155" t="s">
        <v>65</v>
      </c>
      <c r="D28" s="155" t="s">
        <v>8</v>
      </c>
      <c r="E28" s="147" t="s">
        <v>116</v>
      </c>
      <c r="F28" s="157" t="s">
        <v>133</v>
      </c>
      <c r="G28" s="158"/>
      <c r="H28" s="158"/>
      <c r="I28" s="158"/>
      <c r="J28" s="158"/>
      <c r="K28" s="158"/>
      <c r="L28" s="158"/>
      <c r="M28" s="158"/>
      <c r="N28" s="158"/>
      <c r="O28" s="158"/>
      <c r="P28" s="158"/>
      <c r="Q28" s="159"/>
      <c r="R28" s="8"/>
    </row>
    <row r="29" spans="2:20" hidden="1" x14ac:dyDescent="0.3">
      <c r="B29" s="156"/>
      <c r="C29" s="156"/>
      <c r="D29" s="156"/>
      <c r="E29" s="148"/>
      <c r="F29" s="31" t="s">
        <v>48</v>
      </c>
      <c r="G29" s="31" t="s">
        <v>49</v>
      </c>
      <c r="H29" s="31" t="s">
        <v>50</v>
      </c>
      <c r="I29" s="52" t="s">
        <v>51</v>
      </c>
      <c r="J29" s="52" t="s">
        <v>52</v>
      </c>
      <c r="K29" s="52" t="s">
        <v>53</v>
      </c>
      <c r="L29" s="31" t="s">
        <v>54</v>
      </c>
      <c r="M29" s="31" t="s">
        <v>55</v>
      </c>
      <c r="N29" s="31" t="s">
        <v>56</v>
      </c>
      <c r="O29" s="31" t="s">
        <v>57</v>
      </c>
      <c r="P29" s="31" t="s">
        <v>58</v>
      </c>
      <c r="Q29" s="31" t="s">
        <v>59</v>
      </c>
      <c r="R29" s="8"/>
    </row>
    <row r="30" spans="2:20" hidden="1" x14ac:dyDescent="0.3">
      <c r="B30" s="32">
        <v>1</v>
      </c>
      <c r="C30" s="33" t="s">
        <v>118</v>
      </c>
      <c r="D30" s="34" t="s">
        <v>20</v>
      </c>
      <c r="E30" s="35">
        <f t="shared" ref="E30:Q30" si="7">+E31+E35+E36</f>
        <v>2249.3608517438502</v>
      </c>
      <c r="F30" s="35">
        <f t="shared" si="7"/>
        <v>0</v>
      </c>
      <c r="G30" s="35">
        <f t="shared" si="7"/>
        <v>0</v>
      </c>
      <c r="H30" s="35">
        <f t="shared" si="7"/>
        <v>19.846486563750702</v>
      </c>
      <c r="I30" s="35">
        <f t="shared" si="7"/>
        <v>48.226486563750697</v>
      </c>
      <c r="J30" s="35">
        <f t="shared" si="7"/>
        <v>60</v>
      </c>
      <c r="K30" s="35">
        <f t="shared" si="7"/>
        <v>54.679459691252099</v>
      </c>
      <c r="L30" s="35">
        <f t="shared" si="7"/>
        <v>286.93181818181802</v>
      </c>
      <c r="M30" s="35">
        <f t="shared" si="7"/>
        <v>292.23181818181803</v>
      </c>
      <c r="N30" s="35">
        <f t="shared" si="7"/>
        <v>375.38636363636402</v>
      </c>
      <c r="O30" s="35">
        <f t="shared" si="7"/>
        <v>290.11181818181802</v>
      </c>
      <c r="P30" s="35">
        <f t="shared" si="7"/>
        <v>426.81046740994901</v>
      </c>
      <c r="Q30" s="35">
        <f t="shared" si="7"/>
        <v>395.13613333333302</v>
      </c>
      <c r="R30" s="8">
        <f>SUM(I30:K30)</f>
        <v>162.90594625500299</v>
      </c>
      <c r="S30" s="8">
        <f>SUM(L30:N30)</f>
        <v>954.55</v>
      </c>
      <c r="T30" s="8">
        <f>SUM(O30:Q30)</f>
        <v>1112.0584189251001</v>
      </c>
    </row>
    <row r="31" spans="2:20" hidden="1" x14ac:dyDescent="0.3">
      <c r="B31" s="36">
        <v>1.1000000000000001</v>
      </c>
      <c r="C31" s="37" t="s">
        <v>119</v>
      </c>
      <c r="D31" s="29" t="s">
        <v>20</v>
      </c>
      <c r="E31" s="38">
        <f t="shared" ref="E31:E37" si="8">SUM(F31:Q31)</f>
        <v>2247.7408517438498</v>
      </c>
      <c r="F31" s="39">
        <v>0</v>
      </c>
      <c r="G31" s="39">
        <v>0</v>
      </c>
      <c r="H31" s="39">
        <v>18.226486563750701</v>
      </c>
      <c r="I31" s="39">
        <f>18.2264865637507+30</f>
        <v>48.226486563750697</v>
      </c>
      <c r="J31" s="39">
        <v>60</v>
      </c>
      <c r="K31" s="39">
        <f>H31*3</f>
        <v>54.679459691252099</v>
      </c>
      <c r="L31" s="39">
        <v>286.93181818181802</v>
      </c>
      <c r="M31" s="39">
        <v>292.23181818181803</v>
      </c>
      <c r="N31" s="39">
        <v>375.38636363636402</v>
      </c>
      <c r="O31" s="39">
        <v>290.11181818181802</v>
      </c>
      <c r="P31" s="39">
        <v>426.81046740994901</v>
      </c>
      <c r="Q31" s="39">
        <f>Q6</f>
        <v>395.13613333333302</v>
      </c>
      <c r="R31" s="8"/>
    </row>
    <row r="32" spans="2:20" hidden="1" x14ac:dyDescent="0.3">
      <c r="B32" s="36"/>
      <c r="C32" s="37" t="s">
        <v>120</v>
      </c>
      <c r="D32" s="29" t="s">
        <v>20</v>
      </c>
      <c r="E32" s="38">
        <f t="shared" si="8"/>
        <v>2129.40751841052</v>
      </c>
      <c r="F32" s="39"/>
      <c r="G32" s="39"/>
      <c r="H32" s="53">
        <v>18.226486563750701</v>
      </c>
      <c r="I32" s="39">
        <f>18.2264865637507+30</f>
        <v>48.226486563750697</v>
      </c>
      <c r="J32" s="39">
        <v>60</v>
      </c>
      <c r="K32" s="39">
        <f>H32*3</f>
        <v>54.679459691252099</v>
      </c>
      <c r="L32" s="39">
        <v>286.93181818181802</v>
      </c>
      <c r="M32" s="39">
        <v>292.23181818181803</v>
      </c>
      <c r="N32" s="39">
        <v>375.38636363636402</v>
      </c>
      <c r="O32" s="39">
        <v>290.11181818181802</v>
      </c>
      <c r="P32" s="39">
        <v>426.81046740994901</v>
      </c>
      <c r="Q32" s="39">
        <f>Q7</f>
        <v>276.80279999999999</v>
      </c>
    </row>
    <row r="33" spans="2:20" hidden="1" x14ac:dyDescent="0.3">
      <c r="B33" s="36"/>
      <c r="C33" s="40" t="s">
        <v>121</v>
      </c>
      <c r="D33" s="29" t="s">
        <v>20</v>
      </c>
      <c r="E33" s="38">
        <f t="shared" si="8"/>
        <v>0</v>
      </c>
      <c r="F33" s="39"/>
      <c r="G33" s="39"/>
      <c r="H33" s="39"/>
      <c r="I33" s="39"/>
      <c r="J33" s="39"/>
      <c r="K33" s="39"/>
      <c r="L33" s="39"/>
      <c r="M33" s="39"/>
      <c r="N33" s="39"/>
      <c r="O33" s="39"/>
      <c r="P33" s="39"/>
      <c r="Q33" s="39"/>
    </row>
    <row r="34" spans="2:20" hidden="1" x14ac:dyDescent="0.3">
      <c r="B34" s="36"/>
      <c r="C34" s="40" t="s">
        <v>122</v>
      </c>
      <c r="D34" s="29" t="s">
        <v>20</v>
      </c>
      <c r="E34" s="38">
        <f t="shared" si="8"/>
        <v>0</v>
      </c>
      <c r="F34" s="39"/>
      <c r="G34" s="39"/>
      <c r="H34" s="39"/>
      <c r="I34" s="39"/>
      <c r="J34" s="39"/>
      <c r="K34" s="39"/>
      <c r="L34" s="39"/>
      <c r="M34" s="39"/>
      <c r="N34" s="39"/>
      <c r="O34" s="39"/>
      <c r="P34" s="39"/>
      <c r="Q34" s="39"/>
    </row>
    <row r="35" spans="2:20" hidden="1" x14ac:dyDescent="0.3">
      <c r="B35" s="36">
        <v>1.2</v>
      </c>
      <c r="C35" s="37" t="s">
        <v>123</v>
      </c>
      <c r="D35" s="29" t="s">
        <v>20</v>
      </c>
      <c r="E35" s="38">
        <f t="shared" si="8"/>
        <v>1.62</v>
      </c>
      <c r="F35" s="39"/>
      <c r="G35" s="39"/>
      <c r="H35" s="39">
        <v>1.62</v>
      </c>
      <c r="I35" s="39"/>
      <c r="J35" s="39"/>
      <c r="K35" s="39"/>
      <c r="L35" s="39"/>
      <c r="M35" s="39"/>
      <c r="N35" s="39"/>
      <c r="O35" s="39"/>
      <c r="P35" s="39"/>
      <c r="Q35" s="39"/>
    </row>
    <row r="36" spans="2:20" hidden="1" x14ac:dyDescent="0.3">
      <c r="B36" s="42">
        <v>1.3</v>
      </c>
      <c r="C36" s="43" t="s">
        <v>124</v>
      </c>
      <c r="D36" s="29" t="s">
        <v>20</v>
      </c>
      <c r="E36" s="38">
        <f t="shared" si="8"/>
        <v>0</v>
      </c>
      <c r="F36" s="39"/>
      <c r="G36" s="39"/>
      <c r="H36" s="39"/>
      <c r="I36" s="39"/>
      <c r="J36" s="39"/>
      <c r="K36" s="39"/>
      <c r="L36" s="39"/>
      <c r="M36" s="39"/>
      <c r="N36" s="39"/>
      <c r="O36" s="39"/>
      <c r="P36" s="39"/>
      <c r="Q36" s="39"/>
    </row>
    <row r="37" spans="2:20" hidden="1" x14ac:dyDescent="0.3">
      <c r="B37" s="36"/>
      <c r="C37" s="37" t="s">
        <v>122</v>
      </c>
      <c r="D37" s="29" t="s">
        <v>20</v>
      </c>
      <c r="E37" s="38">
        <f t="shared" si="8"/>
        <v>0</v>
      </c>
      <c r="F37" s="39"/>
      <c r="G37" s="39"/>
      <c r="H37" s="39"/>
      <c r="I37" s="39"/>
      <c r="J37" s="39"/>
      <c r="K37" s="39"/>
      <c r="L37" s="39"/>
      <c r="M37" s="39"/>
      <c r="N37" s="39"/>
      <c r="O37" s="39"/>
      <c r="P37" s="39"/>
      <c r="Q37" s="39"/>
    </row>
    <row r="38" spans="2:20" hidden="1" x14ac:dyDescent="0.3">
      <c r="B38" s="32">
        <v>2</v>
      </c>
      <c r="C38" s="33" t="s">
        <v>125</v>
      </c>
      <c r="D38" s="34" t="s">
        <v>20</v>
      </c>
      <c r="E38" s="35">
        <f t="shared" ref="E38:Q38" si="9">+E39+E43+E44+E45</f>
        <v>2361.4539114191002</v>
      </c>
      <c r="F38" s="35">
        <f t="shared" si="9"/>
        <v>78.58</v>
      </c>
      <c r="G38" s="35">
        <f t="shared" si="9"/>
        <v>81.599999999999994</v>
      </c>
      <c r="H38" s="35">
        <f t="shared" si="9"/>
        <v>66.2</v>
      </c>
      <c r="I38" s="35">
        <f t="shared" si="9"/>
        <v>122.021439393939</v>
      </c>
      <c r="J38" s="35">
        <f t="shared" si="9"/>
        <v>138.38113207547201</v>
      </c>
      <c r="K38" s="35">
        <f t="shared" si="9"/>
        <v>121.581346483705</v>
      </c>
      <c r="L38" s="35">
        <f t="shared" si="9"/>
        <v>295.99216723842198</v>
      </c>
      <c r="M38" s="35">
        <f t="shared" si="9"/>
        <v>260.62925478559202</v>
      </c>
      <c r="N38" s="35">
        <f t="shared" si="9"/>
        <v>295.28985684391102</v>
      </c>
      <c r="O38" s="35">
        <f t="shared" si="9"/>
        <v>268.51276723842199</v>
      </c>
      <c r="P38" s="35">
        <f t="shared" si="9"/>
        <v>337.34401080617499</v>
      </c>
      <c r="Q38" s="35">
        <f t="shared" si="9"/>
        <v>295.32193655345901</v>
      </c>
      <c r="R38" s="8">
        <f t="shared" ref="R38:R45" si="10">SUM(I38:K38)</f>
        <v>381.98391795311602</v>
      </c>
      <c r="S38" s="8">
        <f t="shared" ref="S38:S47" si="11">SUM(L38:N38)</f>
        <v>851.91127886792503</v>
      </c>
      <c r="T38" s="8">
        <f t="shared" ref="T38:T47" si="12">SUM(O38:Q38)</f>
        <v>901.17871459805599</v>
      </c>
    </row>
    <row r="39" spans="2:20" hidden="1" x14ac:dyDescent="0.3">
      <c r="B39" s="36">
        <v>2.1</v>
      </c>
      <c r="C39" s="37" t="s">
        <v>126</v>
      </c>
      <c r="D39" s="29" t="s">
        <v>20</v>
      </c>
      <c r="E39" s="38">
        <f t="shared" ref="E39:E46" si="13">SUM(F39:Q39)</f>
        <v>1213.02804450086</v>
      </c>
      <c r="F39" s="39">
        <v>4.5</v>
      </c>
      <c r="G39" s="39"/>
      <c r="H39" s="39"/>
      <c r="I39" s="39">
        <f t="shared" ref="I39:P39" si="14">I31*0.56</f>
        <v>27.006832475700399</v>
      </c>
      <c r="J39" s="39">
        <f t="shared" si="14"/>
        <v>33.6</v>
      </c>
      <c r="K39" s="39">
        <f t="shared" si="14"/>
        <v>30.620497427101199</v>
      </c>
      <c r="L39" s="39">
        <f t="shared" si="14"/>
        <v>160.68181818181799</v>
      </c>
      <c r="M39" s="39">
        <f t="shared" si="14"/>
        <v>163.64981818181801</v>
      </c>
      <c r="N39" s="39">
        <f t="shared" si="14"/>
        <v>210.21636363636401</v>
      </c>
      <c r="O39" s="39">
        <f t="shared" si="14"/>
        <v>162.46261818181799</v>
      </c>
      <c r="P39" s="39">
        <f t="shared" si="14"/>
        <v>239.01386174957099</v>
      </c>
      <c r="Q39" s="39">
        <f>Q31*0.56-40</f>
        <v>181.27623466666699</v>
      </c>
      <c r="R39" s="8">
        <f t="shared" si="10"/>
        <v>91.2273299028016</v>
      </c>
      <c r="S39" s="8">
        <f t="shared" si="11"/>
        <v>534.548</v>
      </c>
      <c r="T39" s="8">
        <f t="shared" si="12"/>
        <v>582.75271459805595</v>
      </c>
    </row>
    <row r="40" spans="2:20" hidden="1" x14ac:dyDescent="0.3">
      <c r="B40" s="36"/>
      <c r="C40" s="37" t="s">
        <v>127</v>
      </c>
      <c r="D40" s="29" t="s">
        <v>20</v>
      </c>
      <c r="E40" s="38">
        <f t="shared" si="13"/>
        <v>1146.7613778341899</v>
      </c>
      <c r="F40" s="39">
        <v>4.5</v>
      </c>
      <c r="G40" s="39"/>
      <c r="H40" s="39"/>
      <c r="I40" s="39">
        <f t="shared" ref="I40:P40" si="15">I32*0.56</f>
        <v>27.006832475700399</v>
      </c>
      <c r="J40" s="39">
        <f t="shared" si="15"/>
        <v>33.6</v>
      </c>
      <c r="K40" s="39">
        <f t="shared" si="15"/>
        <v>30.620497427101199</v>
      </c>
      <c r="L40" s="39">
        <f t="shared" si="15"/>
        <v>160.68181818181799</v>
      </c>
      <c r="M40" s="39">
        <f t="shared" si="15"/>
        <v>163.64981818181801</v>
      </c>
      <c r="N40" s="39">
        <f t="shared" si="15"/>
        <v>210.21636363636401</v>
      </c>
      <c r="O40" s="39">
        <f t="shared" si="15"/>
        <v>162.46261818181799</v>
      </c>
      <c r="P40" s="39">
        <f t="shared" si="15"/>
        <v>239.01386174957099</v>
      </c>
      <c r="Q40" s="39">
        <f>Q32*0.56-40</f>
        <v>115.009568</v>
      </c>
    </row>
    <row r="41" spans="2:20" hidden="1" x14ac:dyDescent="0.3">
      <c r="B41" s="36"/>
      <c r="C41" s="40" t="s">
        <v>128</v>
      </c>
      <c r="D41" s="29" t="s">
        <v>20</v>
      </c>
      <c r="E41" s="38">
        <f t="shared" si="13"/>
        <v>0</v>
      </c>
      <c r="F41" s="39"/>
      <c r="G41" s="39"/>
      <c r="H41" s="39"/>
      <c r="I41" s="39"/>
      <c r="J41" s="39"/>
      <c r="K41" s="39"/>
      <c r="L41" s="39"/>
      <c r="M41" s="39"/>
      <c r="N41" s="39"/>
      <c r="O41" s="39"/>
      <c r="P41" s="39"/>
      <c r="Q41" s="39"/>
    </row>
    <row r="42" spans="2:20" hidden="1" x14ac:dyDescent="0.3">
      <c r="B42" s="36"/>
      <c r="C42" s="40" t="s">
        <v>122</v>
      </c>
      <c r="D42" s="29" t="s">
        <v>20</v>
      </c>
      <c r="E42" s="38">
        <f t="shared" si="13"/>
        <v>0</v>
      </c>
      <c r="F42" s="39"/>
      <c r="G42" s="39"/>
      <c r="H42" s="39"/>
      <c r="I42" s="39"/>
      <c r="J42" s="39"/>
      <c r="K42" s="39"/>
      <c r="L42" s="39"/>
      <c r="M42" s="39"/>
      <c r="N42" s="39"/>
      <c r="O42" s="39"/>
      <c r="P42" s="39"/>
      <c r="Q42" s="39"/>
    </row>
    <row r="43" spans="2:20" hidden="1" x14ac:dyDescent="0.3">
      <c r="B43" s="36">
        <v>2.2000000000000002</v>
      </c>
      <c r="C43" s="37" t="s">
        <v>129</v>
      </c>
      <c r="D43" s="29" t="s">
        <v>20</v>
      </c>
      <c r="E43" s="38">
        <f t="shared" si="13"/>
        <v>792</v>
      </c>
      <c r="F43" s="39">
        <v>53.2</v>
      </c>
      <c r="G43" s="39">
        <v>56</v>
      </c>
      <c r="H43" s="39">
        <v>56</v>
      </c>
      <c r="I43" s="39">
        <v>57</v>
      </c>
      <c r="J43" s="39">
        <f>56.5+9</f>
        <v>65.5</v>
      </c>
      <c r="K43" s="39">
        <f>59+9</f>
        <v>68</v>
      </c>
      <c r="L43" s="39">
        <v>105</v>
      </c>
      <c r="M43" s="39">
        <v>65</v>
      </c>
      <c r="N43" s="39">
        <v>68</v>
      </c>
      <c r="O43" s="39">
        <v>65</v>
      </c>
      <c r="P43" s="39">
        <v>65</v>
      </c>
      <c r="Q43" s="39">
        <v>68.3</v>
      </c>
      <c r="R43" s="8">
        <f t="shared" si="10"/>
        <v>190.5</v>
      </c>
      <c r="S43" s="8">
        <f t="shared" si="11"/>
        <v>238</v>
      </c>
      <c r="T43" s="8">
        <f t="shared" si="12"/>
        <v>198.3</v>
      </c>
    </row>
    <row r="44" spans="2:20" hidden="1" x14ac:dyDescent="0.3">
      <c r="B44" s="36">
        <v>2.2999999999999998</v>
      </c>
      <c r="C44" s="37" t="s">
        <v>130</v>
      </c>
      <c r="D44" s="29" t="s">
        <v>20</v>
      </c>
      <c r="E44" s="38">
        <f t="shared" si="13"/>
        <v>67.335866918238906</v>
      </c>
      <c r="F44" s="39">
        <v>0.88</v>
      </c>
      <c r="G44" s="39">
        <v>0</v>
      </c>
      <c r="H44" s="39">
        <v>0</v>
      </c>
      <c r="I44" s="39">
        <v>3.3746069182389902</v>
      </c>
      <c r="J44" s="39">
        <v>10.481132075471701</v>
      </c>
      <c r="K44" s="39">
        <v>7.8608490566037297</v>
      </c>
      <c r="L44" s="39">
        <v>7.9103490566037298</v>
      </c>
      <c r="M44" s="39">
        <v>4.1494366037735704</v>
      </c>
      <c r="N44" s="39">
        <v>4.6734932075472004</v>
      </c>
      <c r="O44" s="39">
        <v>7.9301490566037298</v>
      </c>
      <c r="P44" s="39">
        <v>7.9301490566037298</v>
      </c>
      <c r="Q44" s="39">
        <v>12.1457018867925</v>
      </c>
      <c r="R44" s="8">
        <f t="shared" si="10"/>
        <v>21.7165880503144</v>
      </c>
      <c r="S44" s="8">
        <f t="shared" si="11"/>
        <v>16.733278867924501</v>
      </c>
      <c r="T44" s="8">
        <f t="shared" si="12"/>
        <v>28.006</v>
      </c>
    </row>
    <row r="45" spans="2:20" hidden="1" x14ac:dyDescent="0.3">
      <c r="B45" s="36">
        <v>2.4</v>
      </c>
      <c r="C45" s="43" t="s">
        <v>131</v>
      </c>
      <c r="D45" s="29" t="s">
        <v>20</v>
      </c>
      <c r="E45" s="38">
        <f t="shared" si="13"/>
        <v>289.08999999999997</v>
      </c>
      <c r="F45" s="39">
        <v>20</v>
      </c>
      <c r="G45" s="39">
        <v>25.6</v>
      </c>
      <c r="H45" s="54">
        <v>10.199999999999999</v>
      </c>
      <c r="I45" s="39">
        <f>114.64-80</f>
        <v>34.64</v>
      </c>
      <c r="J45" s="39">
        <v>28.8</v>
      </c>
      <c r="K45" s="39">
        <v>15.1</v>
      </c>
      <c r="L45" s="39">
        <v>22.4</v>
      </c>
      <c r="M45" s="39">
        <v>27.83</v>
      </c>
      <c r="N45" s="39">
        <v>12.4</v>
      </c>
      <c r="O45" s="55">
        <v>33.119999999999997</v>
      </c>
      <c r="P45" s="55">
        <v>25.4</v>
      </c>
      <c r="Q45" s="55">
        <v>33.6</v>
      </c>
      <c r="R45" s="8">
        <f t="shared" si="10"/>
        <v>78.540000000000006</v>
      </c>
      <c r="S45" s="8">
        <f t="shared" si="11"/>
        <v>62.63</v>
      </c>
      <c r="T45" s="8">
        <f t="shared" si="12"/>
        <v>92.12</v>
      </c>
    </row>
    <row r="46" spans="2:20" hidden="1" x14ac:dyDescent="0.3">
      <c r="B46" s="49"/>
      <c r="C46" s="37" t="s">
        <v>122</v>
      </c>
      <c r="D46" s="50" t="s">
        <v>20</v>
      </c>
      <c r="E46" s="38">
        <f t="shared" si="13"/>
        <v>0</v>
      </c>
      <c r="F46" s="39"/>
      <c r="G46" s="39"/>
      <c r="H46" s="39"/>
      <c r="I46" s="39"/>
      <c r="J46" s="39"/>
      <c r="K46" s="39"/>
      <c r="L46" s="39"/>
      <c r="M46" s="39"/>
      <c r="N46" s="51"/>
      <c r="O46" s="51"/>
      <c r="P46" s="51"/>
      <c r="Q46" s="51"/>
      <c r="S46" s="8">
        <f t="shared" si="11"/>
        <v>0</v>
      </c>
      <c r="T46" s="8">
        <f t="shared" si="12"/>
        <v>0</v>
      </c>
    </row>
    <row r="47" spans="2:20" hidden="1" x14ac:dyDescent="0.3">
      <c r="B47" s="32">
        <v>3</v>
      </c>
      <c r="C47" s="33" t="s">
        <v>132</v>
      </c>
      <c r="D47" s="34" t="s">
        <v>20</v>
      </c>
      <c r="E47" s="35">
        <f t="shared" ref="E47:Q47" si="16">+E30-E38</f>
        <v>-112.093059675242</v>
      </c>
      <c r="F47" s="35">
        <f t="shared" si="16"/>
        <v>-78.58</v>
      </c>
      <c r="G47" s="35">
        <f t="shared" si="16"/>
        <v>-81.599999999999994</v>
      </c>
      <c r="H47" s="35">
        <f t="shared" si="16"/>
        <v>-46.353513436249301</v>
      </c>
      <c r="I47" s="35">
        <f t="shared" si="16"/>
        <v>-73.794952830188706</v>
      </c>
      <c r="J47" s="35">
        <f t="shared" si="16"/>
        <v>-78.381132075471697</v>
      </c>
      <c r="K47" s="35">
        <f t="shared" si="16"/>
        <v>-66.9018867924528</v>
      </c>
      <c r="L47" s="35">
        <f t="shared" si="16"/>
        <v>-9.0603490566037994</v>
      </c>
      <c r="M47" s="35">
        <f t="shared" si="16"/>
        <v>31.602563396226302</v>
      </c>
      <c r="N47" s="35">
        <f t="shared" si="16"/>
        <v>80.0965067924529</v>
      </c>
      <c r="O47" s="35">
        <f t="shared" si="16"/>
        <v>21.5990509433962</v>
      </c>
      <c r="P47" s="35">
        <f t="shared" si="16"/>
        <v>89.466456603773807</v>
      </c>
      <c r="Q47" s="35">
        <f t="shared" si="16"/>
        <v>99.814196779874095</v>
      </c>
      <c r="R47" s="8">
        <f>SUM(I47:K47)</f>
        <v>-219.077971698113</v>
      </c>
      <c r="S47" s="8">
        <f t="shared" si="11"/>
        <v>102.63872113207501</v>
      </c>
      <c r="T47" s="8">
        <f t="shared" si="12"/>
        <v>210.87970432704401</v>
      </c>
    </row>
    <row r="48" spans="2:20" hidden="1" x14ac:dyDescent="0.3">
      <c r="F48">
        <v>80</v>
      </c>
      <c r="G48">
        <v>40</v>
      </c>
      <c r="H48">
        <v>100</v>
      </c>
      <c r="I48">
        <v>170</v>
      </c>
      <c r="J48">
        <v>50</v>
      </c>
      <c r="K48">
        <v>80</v>
      </c>
    </row>
  </sheetData>
  <mergeCells count="11">
    <mergeCell ref="B2:Q2"/>
    <mergeCell ref="F3:Q3"/>
    <mergeCell ref="F28:Q28"/>
    <mergeCell ref="B3:B4"/>
    <mergeCell ref="B28:B29"/>
    <mergeCell ref="C3:C4"/>
    <mergeCell ref="C28:C29"/>
    <mergeCell ref="D3:D4"/>
    <mergeCell ref="D28:D29"/>
    <mergeCell ref="E3:E4"/>
    <mergeCell ref="E28:E29"/>
  </mergeCells>
  <phoneticPr fontId="24" type="noConversion"/>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42"/>
  <sheetViews>
    <sheetView workbookViewId="0">
      <selection activeCell="P19" sqref="P19"/>
    </sheetView>
  </sheetViews>
  <sheetFormatPr defaultColWidth="9.08203125" defaultRowHeight="14" x14ac:dyDescent="0.3"/>
  <cols>
    <col min="2" max="2" width="17" customWidth="1"/>
    <col min="4" max="4" width="10.4140625" customWidth="1"/>
    <col min="5" max="5" width="12.75" style="8"/>
    <col min="6" max="6" width="10.33203125" style="8" customWidth="1"/>
    <col min="7" max="7" width="9.9140625" style="8"/>
    <col min="8" max="8" width="9.08203125" style="8"/>
    <col min="9" max="9" width="8.83203125" style="9" customWidth="1"/>
    <col min="10" max="10" width="8.9140625" customWidth="1"/>
    <col min="11" max="11" width="12.75"/>
    <col min="15" max="15" width="10.4140625"/>
    <col min="16" max="16" width="14.25"/>
    <col min="19" max="19" width="12.75"/>
  </cols>
  <sheetData>
    <row r="1" spans="1:20" x14ac:dyDescent="0.3">
      <c r="A1" s="155" t="s">
        <v>1</v>
      </c>
      <c r="B1" s="147" t="s">
        <v>65</v>
      </c>
      <c r="C1" s="147" t="s">
        <v>8</v>
      </c>
      <c r="D1" s="161" t="s">
        <v>46</v>
      </c>
      <c r="E1" s="160" t="s">
        <v>47</v>
      </c>
      <c r="F1" s="160"/>
      <c r="G1" s="160"/>
      <c r="H1" s="160"/>
    </row>
    <row r="2" spans="1:20" x14ac:dyDescent="0.3">
      <c r="A2" s="156"/>
      <c r="B2" s="148"/>
      <c r="C2" s="148"/>
      <c r="D2" s="162"/>
      <c r="E2" s="10" t="s">
        <v>134</v>
      </c>
      <c r="F2" s="10" t="s">
        <v>135</v>
      </c>
      <c r="G2" s="10" t="s">
        <v>136</v>
      </c>
      <c r="H2" s="10" t="s">
        <v>137</v>
      </c>
      <c r="J2" t="s">
        <v>51</v>
      </c>
      <c r="K2" t="s">
        <v>52</v>
      </c>
      <c r="L2" t="s">
        <v>53</v>
      </c>
      <c r="M2" t="s">
        <v>54</v>
      </c>
      <c r="N2" t="s">
        <v>55</v>
      </c>
      <c r="O2" t="s">
        <v>56</v>
      </c>
      <c r="P2" t="s">
        <v>57</v>
      </c>
      <c r="Q2" t="s">
        <v>58</v>
      </c>
      <c r="R2" t="s">
        <v>59</v>
      </c>
      <c r="S2" t="s">
        <v>134</v>
      </c>
    </row>
    <row r="3" spans="1:20" s="7" customFormat="1" x14ac:dyDescent="0.3">
      <c r="A3" s="11">
        <v>1</v>
      </c>
      <c r="B3" s="12" t="s">
        <v>18</v>
      </c>
      <c r="C3" s="13" t="s">
        <v>20</v>
      </c>
      <c r="D3" s="14">
        <f t="shared" ref="D3:D26" si="0">SUM(E3:H3)</f>
        <v>2824.03496906294</v>
      </c>
      <c r="E3" s="15">
        <f t="shared" ref="E3:H3" si="1">SUM(E4,E12)</f>
        <v>306.78244711263602</v>
      </c>
      <c r="F3" s="15">
        <f t="shared" si="1"/>
        <v>1062.4223332710601</v>
      </c>
      <c r="G3" s="15">
        <f t="shared" si="1"/>
        <v>678.41509433962301</v>
      </c>
      <c r="H3" s="15">
        <f t="shared" si="1"/>
        <v>776.41509433962199</v>
      </c>
      <c r="I3" s="16">
        <f>2932-D3</f>
        <v>107.965030937055</v>
      </c>
    </row>
    <row r="4" spans="1:20" s="7" customFormat="1" x14ac:dyDescent="0.3">
      <c r="A4" s="17">
        <v>1.1000000000000001</v>
      </c>
      <c r="B4" s="18" t="s">
        <v>79</v>
      </c>
      <c r="C4" s="19" t="s">
        <v>20</v>
      </c>
      <c r="D4" s="20">
        <f t="shared" si="0"/>
        <v>2195.9561347644199</v>
      </c>
      <c r="E4" s="21">
        <f t="shared" ref="E4:H4" si="2">SUM(E5:E11)</f>
        <v>302.82205107303201</v>
      </c>
      <c r="F4" s="21">
        <f t="shared" si="2"/>
        <v>864.83219689893497</v>
      </c>
      <c r="G4" s="21">
        <f t="shared" si="2"/>
        <v>346.22641509433998</v>
      </c>
      <c r="H4" s="21">
        <f t="shared" si="2"/>
        <v>682.07547169811301</v>
      </c>
      <c r="I4" s="16"/>
      <c r="J4" s="7">
        <f t="shared" ref="J4:L4" si="3">66/3</f>
        <v>22</v>
      </c>
      <c r="K4" s="7">
        <f t="shared" si="3"/>
        <v>22</v>
      </c>
      <c r="L4" s="7">
        <f t="shared" si="3"/>
        <v>22</v>
      </c>
      <c r="M4" s="7">
        <v>5</v>
      </c>
      <c r="N4" s="7">
        <v>5</v>
      </c>
      <c r="O4" s="7">
        <v>6</v>
      </c>
      <c r="P4" s="7">
        <f t="shared" ref="P4:R4" si="4">39/3</f>
        <v>13</v>
      </c>
      <c r="Q4" s="7">
        <f t="shared" si="4"/>
        <v>13</v>
      </c>
      <c r="R4" s="7">
        <f t="shared" si="4"/>
        <v>13</v>
      </c>
      <c r="S4" s="7">
        <v>17</v>
      </c>
      <c r="T4" s="22">
        <f>SUM(J4:S4)</f>
        <v>138</v>
      </c>
    </row>
    <row r="5" spans="1:20" x14ac:dyDescent="0.3">
      <c r="A5" s="23"/>
      <c r="B5" s="24" t="s">
        <v>80</v>
      </c>
      <c r="C5" s="25" t="s">
        <v>20</v>
      </c>
      <c r="D5" s="26">
        <f t="shared" si="0"/>
        <v>1668.56337182775</v>
      </c>
      <c r="E5" s="10">
        <f>SUM('[2]附件2 经营性净现金流利润编制明细'!F7:H7)-4/1.01-4.07</f>
        <v>298.75205107303202</v>
      </c>
      <c r="F5" s="10">
        <f>12*58/1.06+12*8/1.06</f>
        <v>747.169811320755</v>
      </c>
      <c r="G5" s="10">
        <f>12*12/1.06+12*4/1.06</f>
        <v>181.13207547169799</v>
      </c>
      <c r="H5" s="10">
        <f>12*24/1.06+12*15/1.06</f>
        <v>441.50943396226398</v>
      </c>
      <c r="J5" s="27">
        <f t="shared" ref="J5:J12" si="5">D5/$D$3</f>
        <v>0.59084373603964302</v>
      </c>
    </row>
    <row r="6" spans="1:20" x14ac:dyDescent="0.3">
      <c r="A6" s="23"/>
      <c r="B6" s="24" t="s">
        <v>81</v>
      </c>
      <c r="C6" s="25" t="s">
        <v>20</v>
      </c>
      <c r="D6" s="26">
        <f t="shared" si="0"/>
        <v>104.17462170745399</v>
      </c>
      <c r="E6" s="10"/>
      <c r="F6" s="10">
        <f>9.9/1.01+4.75</f>
        <v>14.5519801980198</v>
      </c>
      <c r="G6" s="10">
        <f>35/1.06</f>
        <v>33.018867924528301</v>
      </c>
      <c r="H6" s="10">
        <f>(25*2+10)/1.06</f>
        <v>56.603773584905703</v>
      </c>
      <c r="J6" s="27">
        <f t="shared" si="5"/>
        <v>3.6888573565369301E-2</v>
      </c>
    </row>
    <row r="7" spans="1:20" x14ac:dyDescent="0.3">
      <c r="A7" s="23"/>
      <c r="B7" s="24" t="s">
        <v>138</v>
      </c>
      <c r="C7" s="25" t="s">
        <v>20</v>
      </c>
      <c r="D7" s="26">
        <f t="shared" si="0"/>
        <v>201.232953484028</v>
      </c>
      <c r="E7" s="10"/>
      <c r="F7" s="10">
        <f>36.5/1.01</f>
        <v>36.138613861386098</v>
      </c>
      <c r="G7" s="10">
        <f>70/1.06</f>
        <v>66.037735849056602</v>
      </c>
      <c r="H7" s="10">
        <f>105/1.06</f>
        <v>99.056603773584897</v>
      </c>
      <c r="J7" s="27">
        <f t="shared" si="5"/>
        <v>7.1257245639135797E-2</v>
      </c>
    </row>
    <row r="8" spans="1:20" x14ac:dyDescent="0.3">
      <c r="A8" s="23"/>
      <c r="B8" s="24" t="s">
        <v>83</v>
      </c>
      <c r="C8" s="25" t="s">
        <v>20</v>
      </c>
      <c r="D8" s="26">
        <f t="shared" si="0"/>
        <v>70.107735849056596</v>
      </c>
      <c r="E8" s="10">
        <v>4.07</v>
      </c>
      <c r="F8" s="10">
        <f>50/1.06</f>
        <v>47.169811320754697</v>
      </c>
      <c r="G8" s="10">
        <f>20/1.06</f>
        <v>18.867924528301899</v>
      </c>
      <c r="H8" s="10"/>
      <c r="J8" s="27">
        <f t="shared" si="5"/>
        <v>2.48253780909517E-2</v>
      </c>
    </row>
    <row r="9" spans="1:20" x14ac:dyDescent="0.3">
      <c r="A9" s="23"/>
      <c r="B9" s="24" t="s">
        <v>84</v>
      </c>
      <c r="C9" s="25" t="s">
        <v>20</v>
      </c>
      <c r="D9" s="26">
        <f t="shared" si="0"/>
        <v>151.87745189613301</v>
      </c>
      <c r="E9" s="10"/>
      <c r="F9" s="10">
        <f>10/1.01+10/1.01</f>
        <v>19.801980198019798</v>
      </c>
      <c r="G9" s="10">
        <f>20/1.06+30/1.06</f>
        <v>47.169811320754697</v>
      </c>
      <c r="H9" s="10">
        <f>30/1.06+60/1.06</f>
        <v>84.905660377358501</v>
      </c>
      <c r="J9" s="27">
        <f t="shared" si="5"/>
        <v>5.3780301433918903E-2</v>
      </c>
    </row>
    <row r="10" spans="1:20" x14ac:dyDescent="0.3">
      <c r="A10" s="23"/>
      <c r="B10" s="24" t="s">
        <v>85</v>
      </c>
      <c r="C10" s="25" t="s">
        <v>20</v>
      </c>
      <c r="D10" s="26">
        <f t="shared" si="0"/>
        <v>0</v>
      </c>
      <c r="E10" s="10"/>
      <c r="F10" s="10"/>
      <c r="G10" s="10"/>
      <c r="H10" s="10"/>
      <c r="J10" s="27">
        <f t="shared" si="5"/>
        <v>0</v>
      </c>
    </row>
    <row r="11" spans="1:20" x14ac:dyDescent="0.3">
      <c r="A11" s="23"/>
      <c r="B11" s="24"/>
      <c r="C11" s="25" t="s">
        <v>20</v>
      </c>
      <c r="D11" s="26">
        <f t="shared" si="0"/>
        <v>0</v>
      </c>
      <c r="E11" s="10"/>
      <c r="F11" s="10"/>
      <c r="G11" s="10"/>
      <c r="H11" s="10"/>
      <c r="J11" s="27">
        <f t="shared" si="5"/>
        <v>0</v>
      </c>
    </row>
    <row r="12" spans="1:20" ht="26" x14ac:dyDescent="0.3">
      <c r="A12" s="17">
        <v>1.2</v>
      </c>
      <c r="B12" s="18" t="s">
        <v>139</v>
      </c>
      <c r="C12" s="25" t="s">
        <v>20</v>
      </c>
      <c r="D12" s="26">
        <f t="shared" si="0"/>
        <v>628.07883429852404</v>
      </c>
      <c r="E12" s="10">
        <f>4/1.01</f>
        <v>3.9603960396039599</v>
      </c>
      <c r="F12" s="10">
        <f>5/1.01+4/1.01+200/1.06</f>
        <v>197.590136372128</v>
      </c>
      <c r="G12" s="10">
        <f>(350)/1.06+2</f>
        <v>332.18867924528303</v>
      </c>
      <c r="H12" s="10">
        <f>(100)/1.06</f>
        <v>94.339622641509393</v>
      </c>
      <c r="J12" s="27">
        <f t="shared" si="5"/>
        <v>0.22240476523098099</v>
      </c>
    </row>
    <row r="13" spans="1:20" x14ac:dyDescent="0.3">
      <c r="A13" s="11">
        <v>2</v>
      </c>
      <c r="B13" s="12" t="s">
        <v>140</v>
      </c>
      <c r="C13" s="13" t="s">
        <v>20</v>
      </c>
      <c r="D13" s="14">
        <f t="shared" si="0"/>
        <v>1626.0462702336299</v>
      </c>
      <c r="E13" s="12">
        <f t="shared" ref="E13:H13" si="6">SUM(E14,E22)</f>
        <v>175.257670383076</v>
      </c>
      <c r="F13" s="12">
        <f t="shared" si="6"/>
        <v>626.12822249205999</v>
      </c>
      <c r="G13" s="12">
        <f t="shared" si="6"/>
        <v>416.56603773584902</v>
      </c>
      <c r="H13" s="12">
        <f t="shared" si="6"/>
        <v>408.094339622642</v>
      </c>
      <c r="I13" s="9">
        <f>1666-D13</f>
        <v>39.953729766372803</v>
      </c>
    </row>
    <row r="14" spans="1:20" s="7" customFormat="1" x14ac:dyDescent="0.3">
      <c r="A14" s="17">
        <v>2.1</v>
      </c>
      <c r="B14" s="18" t="s">
        <v>87</v>
      </c>
      <c r="C14" s="19" t="s">
        <v>20</v>
      </c>
      <c r="D14" s="20">
        <f t="shared" si="0"/>
        <v>1181.5633634523799</v>
      </c>
      <c r="E14" s="21">
        <f t="shared" ref="E14:H14" si="7">SUM(E15:E21)</f>
        <v>175.257670383076</v>
      </c>
      <c r="F14" s="21">
        <f t="shared" si="7"/>
        <v>487.81512703157102</v>
      </c>
      <c r="G14" s="21">
        <f t="shared" si="7"/>
        <v>176.43396226415101</v>
      </c>
      <c r="H14" s="21">
        <f t="shared" si="7"/>
        <v>342.05660377358498</v>
      </c>
      <c r="I14" s="16"/>
      <c r="J14" s="7">
        <f>10+30+60</f>
        <v>100</v>
      </c>
    </row>
    <row r="15" spans="1:20" x14ac:dyDescent="0.3">
      <c r="A15" s="23"/>
      <c r="B15" s="24" t="s">
        <v>80</v>
      </c>
      <c r="C15" s="25" t="s">
        <v>20</v>
      </c>
      <c r="D15" s="26">
        <f t="shared" si="0"/>
        <v>938.89251000571801</v>
      </c>
      <c r="E15" s="10">
        <f>SUM('[2]附件2 经营性净现金流利润编制明细'!F17:H17)</f>
        <v>171.79817038307601</v>
      </c>
      <c r="F15" s="10">
        <f t="shared" ref="F15:H15" si="8">F5*56%</f>
        <v>418.41509433962301</v>
      </c>
      <c r="G15" s="10">
        <f t="shared" si="8"/>
        <v>101.43396226415101</v>
      </c>
      <c r="H15" s="10">
        <f t="shared" si="8"/>
        <v>247.24528301886801</v>
      </c>
    </row>
    <row r="16" spans="1:20" x14ac:dyDescent="0.3">
      <c r="A16" s="28"/>
      <c r="B16" s="24" t="s">
        <v>81</v>
      </c>
      <c r="C16" s="25" t="s">
        <v>20</v>
      </c>
      <c r="D16" s="26">
        <f t="shared" si="0"/>
        <v>52.087310853726898</v>
      </c>
      <c r="E16" s="10">
        <f t="shared" ref="E16:H16" si="9">E6*0.5</f>
        <v>0</v>
      </c>
      <c r="F16" s="10">
        <f t="shared" si="9"/>
        <v>7.2759900990099</v>
      </c>
      <c r="G16" s="10">
        <f t="shared" si="9"/>
        <v>16.5094339622642</v>
      </c>
      <c r="H16" s="10">
        <f t="shared" si="9"/>
        <v>28.301886792452901</v>
      </c>
    </row>
    <row r="17" spans="1:11" x14ac:dyDescent="0.3">
      <c r="A17" s="23"/>
      <c r="B17" s="24" t="s">
        <v>138</v>
      </c>
      <c r="C17" s="25" t="s">
        <v>20</v>
      </c>
      <c r="D17" s="26">
        <f t="shared" si="0"/>
        <v>100.616476742014</v>
      </c>
      <c r="E17" s="10">
        <f t="shared" ref="E17:H17" si="10">E7*0.5</f>
        <v>0</v>
      </c>
      <c r="F17" s="10">
        <f t="shared" si="10"/>
        <v>18.069306930693099</v>
      </c>
      <c r="G17" s="10">
        <f t="shared" si="10"/>
        <v>33.018867924528301</v>
      </c>
      <c r="H17" s="10">
        <f t="shared" si="10"/>
        <v>49.528301886792399</v>
      </c>
    </row>
    <row r="18" spans="1:11" x14ac:dyDescent="0.3">
      <c r="A18" s="23"/>
      <c r="B18" s="24" t="s">
        <v>83</v>
      </c>
      <c r="C18" s="25" t="s">
        <v>20</v>
      </c>
      <c r="D18" s="26">
        <f t="shared" si="0"/>
        <v>59.5915754716981</v>
      </c>
      <c r="E18" s="10">
        <f t="shared" ref="E18:H18" si="11">E8*0.85</f>
        <v>3.4594999999999998</v>
      </c>
      <c r="F18" s="10">
        <f t="shared" si="11"/>
        <v>40.094339622641499</v>
      </c>
      <c r="G18" s="10">
        <f t="shared" si="11"/>
        <v>16.037735849056599</v>
      </c>
      <c r="H18" s="10">
        <f t="shared" si="11"/>
        <v>0</v>
      </c>
    </row>
    <row r="19" spans="1:11" x14ac:dyDescent="0.3">
      <c r="A19" s="29"/>
      <c r="B19" s="24" t="s">
        <v>84</v>
      </c>
      <c r="C19" s="25" t="s">
        <v>20</v>
      </c>
      <c r="D19" s="26">
        <f t="shared" si="0"/>
        <v>30.375490379226601</v>
      </c>
      <c r="E19" s="10">
        <f>E9*0.1</f>
        <v>0</v>
      </c>
      <c r="F19" s="10">
        <f t="shared" ref="F19:H19" si="12">F9*0.2</f>
        <v>3.9603960396039599</v>
      </c>
      <c r="G19" s="10">
        <f t="shared" si="12"/>
        <v>9.4339622641509404</v>
      </c>
      <c r="H19" s="10">
        <f t="shared" si="12"/>
        <v>16.981132075471699</v>
      </c>
    </row>
    <row r="20" spans="1:11" x14ac:dyDescent="0.3">
      <c r="A20" s="29"/>
      <c r="B20" s="24" t="s">
        <v>85</v>
      </c>
      <c r="C20" s="25" t="s">
        <v>20</v>
      </c>
      <c r="D20" s="26">
        <f t="shared" si="0"/>
        <v>0</v>
      </c>
      <c r="E20" s="10"/>
      <c r="F20" s="10"/>
      <c r="G20" s="10"/>
      <c r="H20" s="10"/>
      <c r="K20" s="8"/>
    </row>
    <row r="21" spans="1:11" x14ac:dyDescent="0.3">
      <c r="A21" s="29"/>
      <c r="B21" s="24"/>
      <c r="C21" s="25" t="s">
        <v>20</v>
      </c>
      <c r="D21" s="26">
        <f t="shared" si="0"/>
        <v>0</v>
      </c>
      <c r="E21" s="10"/>
      <c r="F21" s="10"/>
      <c r="G21" s="10"/>
      <c r="H21" s="10"/>
      <c r="K21" s="8">
        <f>-9.9/1.01-4.75</f>
        <v>-14.5519801980198</v>
      </c>
    </row>
    <row r="22" spans="1:11" s="7" customFormat="1" x14ac:dyDescent="0.3">
      <c r="A22" s="17">
        <v>2.2000000000000002</v>
      </c>
      <c r="B22" s="18" t="s">
        <v>141</v>
      </c>
      <c r="C22" s="19" t="s">
        <v>20</v>
      </c>
      <c r="D22" s="20">
        <f t="shared" si="0"/>
        <v>444.48290678124403</v>
      </c>
      <c r="E22" s="21"/>
      <c r="F22" s="21">
        <f>F12*0.7</f>
        <v>138.313095460489</v>
      </c>
      <c r="G22" s="21">
        <f>G12*0.7+7.6</f>
        <v>240.13207547169799</v>
      </c>
      <c r="H22" s="21">
        <f>H12*0.7</f>
        <v>66.037735849056602</v>
      </c>
      <c r="I22" s="16"/>
    </row>
    <row r="23" spans="1:11" s="7" customFormat="1" x14ac:dyDescent="0.3">
      <c r="A23" s="17">
        <v>3</v>
      </c>
      <c r="B23" s="18" t="s">
        <v>142</v>
      </c>
      <c r="C23" s="19" t="s">
        <v>20</v>
      </c>
      <c r="D23" s="20">
        <f t="shared" si="0"/>
        <v>1197.9886988293199</v>
      </c>
      <c r="E23" s="21">
        <f t="shared" ref="E23:H23" si="13">E3-E13</f>
        <v>131.52477672955999</v>
      </c>
      <c r="F23" s="21">
        <f t="shared" si="13"/>
        <v>436.29411077900301</v>
      </c>
      <c r="G23" s="21">
        <f t="shared" si="13"/>
        <v>261.84905660377399</v>
      </c>
      <c r="H23" s="21">
        <f t="shared" si="13"/>
        <v>368.32075471698101</v>
      </c>
      <c r="I23" s="16"/>
    </row>
    <row r="24" spans="1:11" s="7" customFormat="1" x14ac:dyDescent="0.3">
      <c r="A24" s="17">
        <v>4</v>
      </c>
      <c r="B24" s="18" t="s">
        <v>143</v>
      </c>
      <c r="C24" s="19" t="s">
        <v>20</v>
      </c>
      <c r="D24" s="20">
        <f t="shared" si="0"/>
        <v>1190.4941843916699</v>
      </c>
      <c r="E24" s="21">
        <f>SUM('[2]附件2 经营性净现金流利润编制明细'!F26:H26,'[2]附件2 经营性净现金流利润编制明细'!F29:H29,'[2]附件2 经营性净现金流利润编制明细'!F32:H32,'[2]附件2 经营性净现金流利润编制明细'!F35:H35)</f>
        <v>235.84328759499999</v>
      </c>
      <c r="F24" s="21">
        <f>SUM('[2]附件2 经营性净现金流利润编制明细'!I26:K35)</f>
        <v>342.441958261428</v>
      </c>
      <c r="G24" s="21">
        <f>SUM('[2]附件2 经营性净现金流利润编制明细'!L26:N35)</f>
        <v>313.38956726761899</v>
      </c>
      <c r="H24" s="21">
        <f>SUM('[2]附件2 经营性净现金流利润编制明细'!O26:Q35)-37-50</f>
        <v>298.81937126761898</v>
      </c>
      <c r="I24" s="30"/>
    </row>
    <row r="25" spans="1:11" s="7" customFormat="1" x14ac:dyDescent="0.3">
      <c r="A25" s="17">
        <v>5</v>
      </c>
      <c r="B25" s="18" t="s">
        <v>144</v>
      </c>
      <c r="C25" s="19" t="s">
        <v>20</v>
      </c>
      <c r="D25" s="20">
        <f t="shared" si="0"/>
        <v>6.4426666666666597</v>
      </c>
      <c r="E25" s="21"/>
      <c r="F25" s="21">
        <f>7.48/3</f>
        <v>2.4933333333333301</v>
      </c>
      <c r="G25" s="21">
        <f>7.48/3</f>
        <v>2.4933333333333301</v>
      </c>
      <c r="H25" s="21">
        <f>7.48/5-0.04</f>
        <v>1.456</v>
      </c>
      <c r="I25" s="30">
        <f>D23-D24+60</f>
        <v>67.494514437651603</v>
      </c>
    </row>
    <row r="26" spans="1:11" s="7" customFormat="1" x14ac:dyDescent="0.3">
      <c r="A26" s="17">
        <v>6</v>
      </c>
      <c r="B26" s="18" t="s">
        <v>22</v>
      </c>
      <c r="C26" s="19" t="s">
        <v>20</v>
      </c>
      <c r="D26" s="20">
        <f t="shared" si="0"/>
        <v>1.05184777098479</v>
      </c>
      <c r="E26" s="21">
        <f t="shared" ref="E26:H26" si="14">E23-E24-E25</f>
        <v>-104.31851086544</v>
      </c>
      <c r="F26" s="21">
        <f t="shared" si="14"/>
        <v>91.358819184241696</v>
      </c>
      <c r="G26" s="21">
        <f t="shared" si="14"/>
        <v>-54.033843997178799</v>
      </c>
      <c r="H26" s="21">
        <f t="shared" si="14"/>
        <v>68.045383449361907</v>
      </c>
      <c r="I26" s="30">
        <f>I25*10%</f>
        <v>6.7494514437651603</v>
      </c>
    </row>
    <row r="28" spans="1:11" x14ac:dyDescent="0.3">
      <c r="E28" s="8">
        <f>1178+73</f>
        <v>1251</v>
      </c>
    </row>
    <row r="29" spans="1:11" x14ac:dyDescent="0.3">
      <c r="E29" s="8">
        <f>E28*0.85</f>
        <v>1063.3499999999999</v>
      </c>
    </row>
    <row r="30" spans="1:11" x14ac:dyDescent="0.3">
      <c r="E30" s="8">
        <f>E28-E29</f>
        <v>187.65</v>
      </c>
    </row>
    <row r="31" spans="1:11" x14ac:dyDescent="0.3">
      <c r="E31" s="8">
        <f>E24-4.6</f>
        <v>231.243287595</v>
      </c>
    </row>
    <row r="32" spans="1:11" x14ac:dyDescent="0.3">
      <c r="E32" s="8">
        <f>E31*0.16</f>
        <v>36.998926015199999</v>
      </c>
    </row>
    <row r="37" spans="4:16" x14ac:dyDescent="0.3">
      <c r="O37" s="8">
        <v>20000</v>
      </c>
      <c r="P37" s="8"/>
    </row>
    <row r="38" spans="4:16" x14ac:dyDescent="0.3">
      <c r="D38" t="s">
        <v>145</v>
      </c>
      <c r="E38" s="8" t="s">
        <v>146</v>
      </c>
      <c r="F38" s="8" t="s">
        <v>147</v>
      </c>
      <c r="G38" s="8" t="s">
        <v>148</v>
      </c>
      <c r="H38" s="8" t="s">
        <v>149</v>
      </c>
      <c r="J38" t="s">
        <v>150</v>
      </c>
      <c r="K38" s="8" t="s">
        <v>151</v>
      </c>
      <c r="O38" s="8">
        <v>3</v>
      </c>
      <c r="P38" s="8">
        <v>30000</v>
      </c>
    </row>
    <row r="39" spans="4:16" x14ac:dyDescent="0.3">
      <c r="D39" t="s">
        <v>152</v>
      </c>
      <c r="E39" s="8">
        <f>(40+4+9.9+2.48)/1.01</f>
        <v>55.821782178217802</v>
      </c>
      <c r="F39" s="8">
        <f>(58+8)*12/1.06</f>
        <v>747.169811320755</v>
      </c>
      <c r="G39" s="8">
        <f>200/1.06</f>
        <v>188.67924528301899</v>
      </c>
      <c r="H39" s="8">
        <f>1058.3-991.67</f>
        <v>66.63</v>
      </c>
      <c r="J39" s="8">
        <f>SUM(E39:I39)</f>
        <v>1058.30083878199</v>
      </c>
      <c r="K39" s="8">
        <v>1062.4223332710601</v>
      </c>
      <c r="O39" s="8">
        <f>O37*O38</f>
        <v>60000</v>
      </c>
      <c r="P39" s="8">
        <f>O37*P38</f>
        <v>600000000</v>
      </c>
    </row>
    <row r="40" spans="4:16" x14ac:dyDescent="0.3">
      <c r="D40" t="s">
        <v>153</v>
      </c>
      <c r="E40" s="8">
        <f>4+2</f>
        <v>6</v>
      </c>
      <c r="F40" s="8">
        <f>F39*1.06*0.5</f>
        <v>396</v>
      </c>
      <c r="G40" s="8">
        <f>G39*1.06</f>
        <v>200</v>
      </c>
      <c r="H40" s="8">
        <f>(400+300)*0.1</f>
        <v>70</v>
      </c>
      <c r="J40" s="8">
        <f>SUM(E40:I40)</f>
        <v>672</v>
      </c>
      <c r="K40" s="8">
        <v>689.95336620926196</v>
      </c>
      <c r="O40" s="8">
        <f>O39/20</f>
        <v>3000</v>
      </c>
      <c r="P40" s="8">
        <f>P39/20</f>
        <v>30000000</v>
      </c>
    </row>
    <row r="41" spans="4:16" x14ac:dyDescent="0.3">
      <c r="D41" t="s">
        <v>154</v>
      </c>
      <c r="E41" s="8">
        <f>SUM('附件3 经营性资金计划 2026415'!I14:K14)+47.26</f>
        <v>656.43519561673099</v>
      </c>
      <c r="F41" s="8">
        <f>150/3+'附件3 经营性资金计划 2026415'!J18+'附件3 经营性资金计划 2026415'!K18</f>
        <v>174.5</v>
      </c>
      <c r="G41" s="8">
        <f>SUM('附件3 经营性资金计划 2026415'!J19:K19)</f>
        <v>16.8671408742761</v>
      </c>
      <c r="H41" s="8">
        <f>SUM('附件3 经营性资金计划 2026415'!I20:K20)*0.85</f>
        <v>61.658999999999999</v>
      </c>
      <c r="J41" s="8">
        <f>SUM(E41:I41)</f>
        <v>909.46133649100705</v>
      </c>
      <c r="K41" s="8">
        <v>764.83694340924603</v>
      </c>
    </row>
    <row r="42" spans="4:16" x14ac:dyDescent="0.3">
      <c r="D42" t="s">
        <v>155</v>
      </c>
      <c r="E42" s="8" t="s">
        <v>156</v>
      </c>
      <c r="F42" s="8" t="s">
        <v>157</v>
      </c>
      <c r="G42" s="8" t="s">
        <v>158</v>
      </c>
      <c r="H42" s="8" t="s">
        <v>159</v>
      </c>
      <c r="J42" s="8">
        <f>J40-J41</f>
        <v>-237.46133649100699</v>
      </c>
      <c r="K42" s="8">
        <f>K40-K41</f>
        <v>-74.883577199983606</v>
      </c>
    </row>
  </sheetData>
  <mergeCells count="5">
    <mergeCell ref="E1:H1"/>
    <mergeCell ref="A1:A2"/>
    <mergeCell ref="B1:B2"/>
    <mergeCell ref="C1:C2"/>
    <mergeCell ref="D1:D2"/>
  </mergeCells>
  <phoneticPr fontId="24" type="noConversion"/>
  <pageMargins left="0.75" right="0.75" top="1" bottom="1" header="0.5" footer="0.5"/>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9"/>
  <sheetViews>
    <sheetView workbookViewId="0">
      <selection activeCell="O37" sqref="O37"/>
    </sheetView>
  </sheetViews>
  <sheetFormatPr defaultColWidth="9.08203125" defaultRowHeight="14" x14ac:dyDescent="0.3"/>
  <cols>
    <col min="1" max="1" width="16.08203125" customWidth="1"/>
    <col min="2" max="3" width="6.9140625" customWidth="1"/>
    <col min="4" max="4" width="6.25" customWidth="1"/>
    <col min="5" max="5" width="61.4140625" customWidth="1"/>
  </cols>
  <sheetData>
    <row r="1" spans="1:5" x14ac:dyDescent="0.3">
      <c r="A1" s="163" t="s">
        <v>160</v>
      </c>
      <c r="B1" s="163"/>
      <c r="C1" s="163"/>
      <c r="D1" s="163"/>
      <c r="E1" s="163"/>
    </row>
    <row r="2" spans="1:5" x14ac:dyDescent="0.3">
      <c r="A2" s="1" t="s">
        <v>63</v>
      </c>
      <c r="B2" s="1" t="s">
        <v>161</v>
      </c>
      <c r="C2" s="1" t="s">
        <v>162</v>
      </c>
      <c r="D2" s="1" t="s">
        <v>163</v>
      </c>
      <c r="E2" s="1"/>
    </row>
    <row r="3" spans="1:5" x14ac:dyDescent="0.3">
      <c r="A3" s="1" t="s">
        <v>152</v>
      </c>
      <c r="B3" s="2">
        <f>'附件2 经营性净现金流利润编制明细2026415'!E5</f>
        <v>2884.03496906294</v>
      </c>
      <c r="C3" s="2">
        <v>2931.67</v>
      </c>
      <c r="D3" s="2">
        <f t="shared" ref="D3:D9" si="0">B3-C3</f>
        <v>-47.635030937055497</v>
      </c>
      <c r="E3" s="3" t="s">
        <v>164</v>
      </c>
    </row>
    <row r="4" spans="1:5" x14ac:dyDescent="0.3">
      <c r="A4" s="1" t="s">
        <v>165</v>
      </c>
      <c r="B4" s="2">
        <f>'附件2 经营性净现金流利润编制明细2026415'!E15</f>
        <v>1686.0397484514499</v>
      </c>
      <c r="C4" s="2">
        <v>1666.34</v>
      </c>
      <c r="D4" s="2">
        <f t="shared" si="0"/>
        <v>19.6997484514498</v>
      </c>
      <c r="E4" s="3" t="s">
        <v>166</v>
      </c>
    </row>
    <row r="5" spans="1:5" x14ac:dyDescent="0.3">
      <c r="A5" s="4" t="s">
        <v>23</v>
      </c>
      <c r="B5" s="5">
        <f>'附件2 经营性净现金流利润编制明细2026415'!E24+'附件2 经营性净现金流利润编制明细2026415'!E27+'附件2 经营性净现金流利润编制明细2026415'!E30</f>
        <v>1163.7140593916699</v>
      </c>
      <c r="C5" s="5">
        <v>1178</v>
      </c>
      <c r="D5" s="5">
        <f t="shared" si="0"/>
        <v>-14.2859406083344</v>
      </c>
      <c r="E5" s="1" t="s">
        <v>167</v>
      </c>
    </row>
    <row r="6" spans="1:5" x14ac:dyDescent="0.3">
      <c r="A6" s="1" t="s">
        <v>22</v>
      </c>
      <c r="B6" s="2">
        <f>'附件2 经营性净现金流利润编制明细2026415'!E38</f>
        <v>1.03981174955288</v>
      </c>
      <c r="C6" s="2">
        <v>54.330000000000197</v>
      </c>
      <c r="D6" s="2">
        <f t="shared" si="0"/>
        <v>-53.290188250447301</v>
      </c>
      <c r="E6" s="6" t="s">
        <v>168</v>
      </c>
    </row>
    <row r="7" spans="1:5" x14ac:dyDescent="0.3">
      <c r="A7" s="4" t="s">
        <v>169</v>
      </c>
      <c r="B7" s="5">
        <f>'附件3 经营性资金计划 2026415'!E5</f>
        <v>3003.0213020011402</v>
      </c>
      <c r="C7" s="5">
        <v>2883.44</v>
      </c>
      <c r="D7" s="5">
        <f t="shared" si="0"/>
        <v>119.58130200114201</v>
      </c>
      <c r="E7" s="1" t="s">
        <v>170</v>
      </c>
    </row>
    <row r="8" spans="1:5" x14ac:dyDescent="0.3">
      <c r="A8" s="4" t="s">
        <v>171</v>
      </c>
      <c r="B8" s="5">
        <f>'附件3 经营性资金计划 2026415'!E13</f>
        <v>2988.8499083575298</v>
      </c>
      <c r="C8" s="5">
        <v>2865</v>
      </c>
      <c r="D8" s="5">
        <f t="shared" si="0"/>
        <v>123.849908357535</v>
      </c>
      <c r="E8" s="3" t="s">
        <v>172</v>
      </c>
    </row>
    <row r="9" spans="1:5" x14ac:dyDescent="0.3">
      <c r="A9" s="1" t="s">
        <v>173</v>
      </c>
      <c r="B9" s="2">
        <f>'附件3 经营性资金计划 2026415'!E22</f>
        <v>14.1713936436072</v>
      </c>
      <c r="C9" s="2">
        <v>18.440000000000101</v>
      </c>
      <c r="D9" s="2">
        <f t="shared" si="0"/>
        <v>-4.26860635639291</v>
      </c>
      <c r="E9" s="6" t="s">
        <v>168</v>
      </c>
    </row>
  </sheetData>
  <mergeCells count="1">
    <mergeCell ref="A1:E1"/>
  </mergeCells>
  <phoneticPr fontId="24"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6</vt:i4>
      </vt:variant>
    </vt:vector>
  </HeadingPairs>
  <TitlesOfParts>
    <vt:vector size="6" baseType="lpstr">
      <vt:lpstr>经营目标</vt:lpstr>
      <vt:lpstr>附件1 指标分解</vt:lpstr>
      <vt:lpstr>附件2 经营性净现金流利润编制明细2026415</vt:lpstr>
      <vt:lpstr>附件3 经营性资金计划 2026415</vt:lpstr>
      <vt:lpstr>逻辑-利润版预算</vt:lpstr>
      <vt:lpstr>简表</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zhangyunchang</dc:creator>
  <cp:lastModifiedBy>Wang Simba</cp:lastModifiedBy>
  <dcterms:created xsi:type="dcterms:W3CDTF">2015-06-06T02:19:00Z</dcterms:created>
  <dcterms:modified xsi:type="dcterms:W3CDTF">2026-05-07T14:49:53Z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3C402600DF7443DB8CC2CDBC615BCC2D_13</vt:lpwstr>
  </property>
  <property fmtid="{D5CDD505-2E9C-101B-9397-08002B2CF9AE}" pid="3" name="KSOProductBuildVer">
    <vt:lpwstr>2052-12.1.0.25865</vt:lpwstr>
  </property>
  <property fmtid="{D5CDD505-2E9C-101B-9397-08002B2CF9AE}" pid="4" name="CalculationRule">
    <vt:i4>0</vt:i4>
  </property>
</Properties>
</file>